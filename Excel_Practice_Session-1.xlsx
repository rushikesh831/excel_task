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xcel_task\"/>
    </mc:Choice>
  </mc:AlternateContent>
  <xr:revisionPtr revIDLastSave="0" documentId="8_{95C48D90-A42A-458C-9732-5BCC15FF17F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🏠 Welcome" sheetId="7" r:id="rId1"/>
    <sheet name="1. Setup &amp; Formats" sheetId="1" r:id="rId2"/>
    <sheet name="2. Random &amp; Basics" sheetId="2" r:id="rId3"/>
    <sheet name="3. Stats &amp; Conditions" sheetId="3" r:id="rId4"/>
    <sheet name="4. Logic &amp; Rank" sheetId="4" r:id="rId5"/>
    <sheet name="5. Advanced Lookups" sheetId="5" r:id="rId6"/>
    <sheet name="6. Database (D-Func)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5" i="6" l="1"/>
  <c r="H14" i="6"/>
  <c r="H12" i="6"/>
  <c r="H13" i="6"/>
  <c r="H11" i="6"/>
  <c r="G17" i="5"/>
  <c r="H11" i="5"/>
  <c r="G11" i="5"/>
  <c r="H10" i="5"/>
  <c r="G10" i="5"/>
  <c r="G8" i="5"/>
  <c r="G7" i="5"/>
  <c r="H7" i="5"/>
  <c r="G11" i="4"/>
  <c r="G12" i="4"/>
  <c r="G13" i="4"/>
  <c r="G14" i="4"/>
  <c r="G15" i="4"/>
  <c r="G16" i="4"/>
  <c r="G17" i="4"/>
  <c r="G18" i="4"/>
  <c r="G19" i="4"/>
  <c r="G20" i="4"/>
  <c r="G21" i="4"/>
  <c r="G10" i="4"/>
  <c r="F11" i="4"/>
  <c r="F12" i="4"/>
  <c r="F13" i="4"/>
  <c r="F14" i="4"/>
  <c r="F15" i="4"/>
  <c r="F16" i="4"/>
  <c r="F17" i="4"/>
  <c r="F18" i="4"/>
  <c r="F19" i="4"/>
  <c r="F20" i="4"/>
  <c r="F21" i="4"/>
  <c r="F10" i="4"/>
  <c r="E11" i="4" a="1"/>
  <c r="E11" i="4" s="1"/>
  <c r="E12" i="4" a="1"/>
  <c r="E12" i="4"/>
  <c r="E13" i="4" a="1"/>
  <c r="E13" i="4" s="1"/>
  <c r="E14" i="4" a="1"/>
  <c r="E14" i="4"/>
  <c r="E15" i="4" a="1"/>
  <c r="E15" i="4" s="1"/>
  <c r="E16" i="4" a="1"/>
  <c r="E16" i="4"/>
  <c r="E17" i="4" a="1"/>
  <c r="E17" i="4" s="1"/>
  <c r="E18" i="4" a="1"/>
  <c r="E18" i="4"/>
  <c r="E19" i="4" a="1"/>
  <c r="E19" i="4" s="1"/>
  <c r="E20" i="4" a="1"/>
  <c r="E20" i="4"/>
  <c r="E21" i="4" a="1"/>
  <c r="E21" i="4" s="1"/>
  <c r="E10" i="4" a="1"/>
  <c r="E10" i="4" s="1"/>
  <c r="D11" i="4" a="1"/>
  <c r="D11" i="4" s="1"/>
  <c r="D12" i="4" a="1"/>
  <c r="D12" i="4"/>
  <c r="D13" i="4" a="1"/>
  <c r="D13" i="4" s="1"/>
  <c r="D14" i="4" a="1"/>
  <c r="D14" i="4"/>
  <c r="D15" i="4" a="1"/>
  <c r="D15" i="4" s="1"/>
  <c r="D16" i="4" a="1"/>
  <c r="D16" i="4"/>
  <c r="D17" i="4" a="1"/>
  <c r="D17" i="4" s="1"/>
  <c r="D18" i="4" a="1"/>
  <c r="D18" i="4"/>
  <c r="D19" i="4" a="1"/>
  <c r="D19" i="4" s="1"/>
  <c r="D20" i="4" a="1"/>
  <c r="D20" i="4"/>
  <c r="D21" i="4" a="1"/>
  <c r="D21" i="4" s="1"/>
  <c r="D10" i="4" a="1"/>
  <c r="D10" i="4" s="1"/>
  <c r="G11" i="1"/>
  <c r="G12" i="1"/>
  <c r="G13" i="1"/>
  <c r="G14" i="1"/>
  <c r="G15" i="1"/>
  <c r="G16" i="1"/>
  <c r="G17" i="1"/>
  <c r="G18" i="1"/>
  <c r="G19" i="1"/>
  <c r="G20" i="1"/>
  <c r="G21" i="1"/>
  <c r="C11" i="4"/>
  <c r="C12" i="4"/>
  <c r="C13" i="4"/>
  <c r="C14" i="4"/>
  <c r="C15" i="4"/>
  <c r="C16" i="4"/>
  <c r="C17" i="4"/>
  <c r="C18" i="4"/>
  <c r="C19" i="4"/>
  <c r="C20" i="4"/>
  <c r="C21" i="4"/>
  <c r="C10" i="4"/>
  <c r="G14" i="3"/>
  <c r="G13" i="3"/>
  <c r="G12" i="3"/>
  <c r="G11" i="3"/>
  <c r="G10" i="3"/>
  <c r="G9" i="3"/>
  <c r="G8" i="3"/>
  <c r="G7" i="3"/>
  <c r="F13" i="2"/>
  <c r="F14" i="2"/>
  <c r="F15" i="2"/>
  <c r="F16" i="2"/>
  <c r="F17" i="2"/>
  <c r="F18" i="2"/>
  <c r="F19" i="2"/>
  <c r="F20" i="2"/>
  <c r="F12" i="2"/>
  <c r="F11" i="2"/>
  <c r="E12" i="2"/>
  <c r="E13" i="2"/>
  <c r="E14" i="2"/>
  <c r="E15" i="2"/>
  <c r="E16" i="2"/>
  <c r="E17" i="2"/>
  <c r="E18" i="2"/>
  <c r="E19" i="2"/>
  <c r="E20" i="2"/>
  <c r="E11" i="2"/>
  <c r="G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<sst xmlns="http://schemas.openxmlformats.org/spreadsheetml/2006/main" count="279" uniqueCount="205">
  <si>
    <t>ID</t>
  </si>
  <si>
    <t>Item Name</t>
  </si>
  <si>
    <t>Date</t>
  </si>
  <si>
    <t>Amount</t>
  </si>
  <si>
    <t>Tax Rate</t>
  </si>
  <si>
    <t>Quantity</t>
  </si>
  <si>
    <t>Laptop</t>
  </si>
  <si>
    <t>Mouse</t>
  </si>
  <si>
    <t>Monitor</t>
  </si>
  <si>
    <t>Student Name</t>
  </si>
  <si>
    <t>Math</t>
  </si>
  <si>
    <t>Science</t>
  </si>
  <si>
    <t>English</t>
  </si>
  <si>
    <t>RandomArray</t>
  </si>
  <si>
    <t>RandomID</t>
  </si>
  <si>
    <t>Arjun</t>
  </si>
  <si>
    <t>Sana</t>
  </si>
  <si>
    <t>Vijay</t>
  </si>
  <si>
    <t>Priya</t>
  </si>
  <si>
    <t>Rahul</t>
  </si>
  <si>
    <t>Region</t>
  </si>
  <si>
    <t>Sales Rep</t>
  </si>
  <si>
    <t>Sales Amount</t>
  </si>
  <si>
    <t>Status</t>
  </si>
  <si>
    <t>North</t>
  </si>
  <si>
    <t>Amit</t>
  </si>
  <si>
    <t>Done</t>
  </si>
  <si>
    <t>South</t>
  </si>
  <si>
    <t>Neha</t>
  </si>
  <si>
    <t>Pending</t>
  </si>
  <si>
    <t>Sonia</t>
  </si>
  <si>
    <t>East</t>
  </si>
  <si>
    <t>Karan</t>
  </si>
  <si>
    <t>West</t>
  </si>
  <si>
    <t>Pooja</t>
  </si>
  <si>
    <t>Ravi</t>
  </si>
  <si>
    <t>Metric</t>
  </si>
  <si>
    <t>Function to Use</t>
  </si>
  <si>
    <t>COUNTA</t>
  </si>
  <si>
    <t>COUNTBLANK</t>
  </si>
  <si>
    <t>Total North Sales</t>
  </si>
  <si>
    <t>SUMIF</t>
  </si>
  <si>
    <t>SUMIFS</t>
  </si>
  <si>
    <t>Avg North Sales</t>
  </si>
  <si>
    <t>AVERAGEIF</t>
  </si>
  <si>
    <t>Avg North Done</t>
  </si>
  <si>
    <t>AVERAGEIFS</t>
  </si>
  <si>
    <t>Student</t>
  </si>
  <si>
    <t>Score</t>
  </si>
  <si>
    <t>Result (IF)</t>
  </si>
  <si>
    <t>Grade (IFS)</t>
  </si>
  <si>
    <t>Remarks (SWITCH)</t>
  </si>
  <si>
    <t>Rank.EQ</t>
  </si>
  <si>
    <t>Rank.AVG</t>
  </si>
  <si>
    <t>Prod ID</t>
  </si>
  <si>
    <t>Product</t>
  </si>
  <si>
    <t>Price</t>
  </si>
  <si>
    <t>Category</t>
  </si>
  <si>
    <t>P01</t>
  </si>
  <si>
    <t>IT</t>
  </si>
  <si>
    <t>P02</t>
  </si>
  <si>
    <t>Phone</t>
  </si>
  <si>
    <t>Mobile</t>
  </si>
  <si>
    <t>Name (VLOOKUP):</t>
  </si>
  <si>
    <t>P03</t>
  </si>
  <si>
    <t>Tablet</t>
  </si>
  <si>
    <t>Category (XLOOKUP):</t>
  </si>
  <si>
    <t>Food</t>
  </si>
  <si>
    <t>DSUM (Total Stock)</t>
  </si>
  <si>
    <t>Stock</t>
  </si>
  <si>
    <t>Total (SUM)</t>
  </si>
  <si>
    <t>Average</t>
  </si>
  <si>
    <t>🎯 TASK 1: Project Sheet Setup &amp; Number Formats</t>
  </si>
  <si>
    <t>📋 INSTRUCTIONS:</t>
  </si>
  <si>
    <t>1️⃣ Set Row Height of Row 9 to 30</t>
  </si>
  <si>
    <t>2️⃣ Set Column Width of Column B to 25</t>
  </si>
  <si>
    <t>3️⃣ Format 'Amount' column as Currency (₹ or $)</t>
  </si>
  <si>
    <t>4️⃣ Format 'Tax Rate' column as Percentage (%)</t>
  </si>
  <si>
    <t>Total Value</t>
  </si>
  <si>
    <t>Keyboard</t>
  </si>
  <si>
    <t>Printer</t>
  </si>
  <si>
    <t>Headphones</t>
  </si>
  <si>
    <t>Webcam</t>
  </si>
  <si>
    <t>USB Hub</t>
  </si>
  <si>
    <t>SSD 1TB</t>
  </si>
  <si>
    <t>RAM 16GB</t>
  </si>
  <si>
    <t>Graphics Card</t>
  </si>
  <si>
    <t>Power Bank</t>
  </si>
  <si>
    <t>🎲 TASK 2: Random Functions &amp; Basic Calculations</t>
  </si>
  <si>
    <t>1️⃣ Use RANDBETWEEN(30,100) to fill Math, Science, English scores</t>
  </si>
  <si>
    <t>2️⃣ Calculate Total using SUM function</t>
  </si>
  <si>
    <t>3️⃣ Calculate Average using AVERAGE function</t>
  </si>
  <si>
    <t>4️⃣ Use RANDARRAY(10,1,1,100) in RandomArray column</t>
  </si>
  <si>
    <t>5️⃣ Use RAND() in RandomID column</t>
  </si>
  <si>
    <t>Ananya</t>
  </si>
  <si>
    <t>Rohan</t>
  </si>
  <si>
    <t>Kavya</t>
  </si>
  <si>
    <t>Aditya</t>
  </si>
  <si>
    <t>Meera</t>
  </si>
  <si>
    <t>📊 TASK 3: COUNT, SUMIF, AVERAGEIF Functions</t>
  </si>
  <si>
    <t>📋 INSTRUCTIONS: Use functions to fill the Summary Box based on the Data Table</t>
  </si>
  <si>
    <t>Deepak</t>
  </si>
  <si>
    <t>Mohit</t>
  </si>
  <si>
    <t>Sneha</t>
  </si>
  <si>
    <t>Arun</t>
  </si>
  <si>
    <t>Kavita</t>
  </si>
  <si>
    <t>Raj</t>
  </si>
  <si>
    <t>Meena</t>
  </si>
  <si>
    <t>Vikram</t>
  </si>
  <si>
    <t>📋 SUMMARY BOX - Fill Using Functions</t>
  </si>
  <si>
    <t>Your Answer</t>
  </si>
  <si>
    <t>Total Sales Records</t>
  </si>
  <si>
    <t>COUNT</t>
  </si>
  <si>
    <t>Total Names Count</t>
  </si>
  <si>
    <t>Missing Sales Count</t>
  </si>
  <si>
    <t>North + Done Sales</t>
  </si>
  <si>
    <t>Max Sale Amount</t>
  </si>
  <si>
    <t>MAX</t>
  </si>
  <si>
    <t>🧠 TASK 4: IF, IFS, SWITCH &amp; RANK Functions</t>
  </si>
  <si>
    <t>1️⃣ Result: Use IF - If Score &gt; 40 → "Pass" else "Fail"</t>
  </si>
  <si>
    <t>2️⃣ Grade: Use IFS - Score &gt; 80 → "A", &gt; 60 → "B", &gt; 40 → "C", else "D"</t>
  </si>
  <si>
    <t>3️⃣ Remarks: Use SWITCH - A→"Excellent", B→"Good", C→"Average", D→"Needs Work"</t>
  </si>
  <si>
    <t>4️⃣ Rank: Use RANK.EQ and RANK.AVG to rank students by score</t>
  </si>
  <si>
    <t>Aarav</t>
  </si>
  <si>
    <t>Bhavya</t>
  </si>
  <si>
    <t>Chirag</t>
  </si>
  <si>
    <t>Diya</t>
  </si>
  <si>
    <t>Eshan</t>
  </si>
  <si>
    <t>Fatima</t>
  </si>
  <si>
    <t>Gaurav</t>
  </si>
  <si>
    <t>Hina</t>
  </si>
  <si>
    <t>Ishaan</t>
  </si>
  <si>
    <t>Jaya</t>
  </si>
  <si>
    <t>Lavanya</t>
  </si>
  <si>
    <t>🔍 TASK 5: VLOOKUP, HLOOKUP, XLOOKUP &amp; INDEX-MATCH</t>
  </si>
  <si>
    <t>📋 INSTRUCTIONS: Use the Product Table to fetch details in the Search Box using different LOOKUP functions</t>
  </si>
  <si>
    <t>Product Name</t>
  </si>
  <si>
    <t>P04</t>
  </si>
  <si>
    <t>P05</t>
  </si>
  <si>
    <t>P06</t>
  </si>
  <si>
    <t>Earbuds</t>
  </si>
  <si>
    <t>P07</t>
  </si>
  <si>
    <t>P08</t>
  </si>
  <si>
    <t>Smartwatch</t>
  </si>
  <si>
    <t>🔎 SEARCH BOX</t>
  </si>
  <si>
    <t>Enter Product ID →</t>
  </si>
  <si>
    <t>Price (VLOOKUP):</t>
  </si>
  <si>
    <t>Price (INDEX-MATCH):</t>
  </si>
  <si>
    <t>Name (INDEX-MATCH):</t>
  </si>
  <si>
    <t>📊 TAX RATE TABLE (For HLOOKUP)</t>
  </si>
  <si>
    <t>Clothing</t>
  </si>
  <si>
    <t>🔎 HLOOKUP Search</t>
  </si>
  <si>
    <t>Enter Category →</t>
  </si>
  <si>
    <t>Tax Rate (HLOOKUP):</t>
  </si>
  <si>
    <t>🗃️ TASK 6: Database Functions - DSUM, DCOUNT, DAVERAGE, DMIN, DMAX</t>
  </si>
  <si>
    <t>📋 INSTRUCTIONS: Set Criteria in the Criteria Box and use Database Functions to solve the Summary</t>
  </si>
  <si>
    <t>Charger</t>
  </si>
  <si>
    <t>📝 CRITERIA BOX</t>
  </si>
  <si>
    <t>&gt;10000</t>
  </si>
  <si>
    <t>📊 SUMMARY - Use D-Functions</t>
  </si>
  <si>
    <t>DCOUNT (Count Items)</t>
  </si>
  <si>
    <t>DAVERAGE (Avg Price)</t>
  </si>
  <si>
    <t>DMIN (Min Price)</t>
  </si>
  <si>
    <t>DMAX (Max Price)</t>
  </si>
  <si>
    <t>🎓 EXCEL PRACTICE SESSION</t>
  </si>
  <si>
    <t>Beginner Level - Learn Excel Step by Step! 🚀</t>
  </si>
  <si>
    <t>📋 TODAY'S TASKS</t>
  </si>
  <si>
    <t>#</t>
  </si>
  <si>
    <t>Task Name</t>
  </si>
  <si>
    <t>Topics Covered</t>
  </si>
  <si>
    <t>Difficulty</t>
  </si>
  <si>
    <t>1️⃣</t>
  </si>
  <si>
    <t>Setup &amp; Formats</t>
  </si>
  <si>
    <t>Row Height, Column Width, Currency, %</t>
  </si>
  <si>
    <t>⭐</t>
  </si>
  <si>
    <t>2️⃣</t>
  </si>
  <si>
    <t>Random &amp; Basics</t>
  </si>
  <si>
    <t>RANDBETWEEN, SUM, AVERAGE, RAND</t>
  </si>
  <si>
    <t>3️⃣</t>
  </si>
  <si>
    <t>Stats &amp; Conditions</t>
  </si>
  <si>
    <t>COUNT, SUMIF, AVERAGEIF, SUMIFS</t>
  </si>
  <si>
    <t>⭐⭐</t>
  </si>
  <si>
    <t>4️⃣</t>
  </si>
  <si>
    <t>Logic &amp; Rank</t>
  </si>
  <si>
    <t>IF, IFS, SWITCH, RANK</t>
  </si>
  <si>
    <t>5️⃣</t>
  </si>
  <si>
    <t>Advanced Lookups</t>
  </si>
  <si>
    <t>VLOOKUP, XLOOKUP, INDEX-MATCH</t>
  </si>
  <si>
    <t>⭐⭐⭐</t>
  </si>
  <si>
    <t>6️⃣</t>
  </si>
  <si>
    <t>Database Functions</t>
  </si>
  <si>
    <t>DSUM, DCOUNT, DAVERAGE, DMIN, DMAX</t>
  </si>
  <si>
    <t>💡 TIPS FOR SUCCESS</t>
  </si>
  <si>
    <t>✅ Read instructions carefully before starting</t>
  </si>
  <si>
    <t>✅ Use the HINTS at the bottom of each sheet</t>
  </si>
  <si>
    <t>✅ Try typing formulas yourself - don't copy-paste</t>
  </si>
  <si>
    <t>✅ Press F2 to edit a cell and see the formula</t>
  </si>
  <si>
    <t>✅ Ask questions if you're stuck! 🙋</t>
  </si>
  <si>
    <t>🌟 ALL THE BEST! You've Got This! 💪</t>
  </si>
  <si>
    <t>💡 HINTS:
• Row Height: Select the row → Right-click → Row Height
• Column Width: Select the column → Right-click → Column Width
• Currency Format: Select cells → Home → Number Format → Currency (₹ or $)
• Percentage: Select cells → Home → Number Format → Percentage (%)
• Total Value Formula: Amount × Quantity × (1 + Tax Rate) — think about which cells to multiply!</t>
  </si>
  <si>
    <t>💡 HINTS:
• RANDBETWEEN(min, max) — returns a random integer between two numbers
• SUM(range) — adds up all values in a range
• AVERAGE(range) — calculates the mean/average of a range
• RANDARRAY(rows, cols, min, max) — creates an array of random numbers
• RAND() — returns a random decimal between 0 and 1</t>
  </si>
  <si>
    <t>💡 HINTS:
• COUNT(range) — counts only numeric values
• COUNTA(range) — counts all non-empty cells
• COUNTBLANK(range) — counts empty cells
• SUMIF(range, criteria, sum_range) — sums values when condition is met
• SUMIFS(sum_range, range1, criteria1, range2, criteria2) — sums with multiple conditions
• AVERAGEIF/AVERAGEIFS — same logic, but calculates average instead</t>
  </si>
  <si>
    <t>💡 HINTS:
• IF(condition, true_result, false_result) — if condition is true, returns first result; otherwise returns second
• IFS(cond1, result1, cond2, result2, ...) — checks multiple conditions, returns result of first true condition (use TRUE for last condition)
• SWITCH(value, match1, result1, match2, result2, ...) — matches value and returns corresponding result
• RANK.EQ(value, range) — returns rank (ties get same rank)
• RANK.AVG(value, range) — returns rank (ties get average rank)</t>
  </si>
  <si>
    <t>💡 HINTS:
• VLOOKUP(lookup_value, table, col_index, FALSE) — searches first column for value, returns value from another column in same row
• HLOOKUP(lookup_value, table, row_index, FALSE) — same but horizontal (searches in rows)
• XLOOKUP(lookup_value, lookup_array, return_array) — modern &amp; flexible lookup function
• INDEX(array, row_num) + MATCH(value, range, 0) — MATCH finds position, INDEX returns value at that position
• FALSE/0 = exact match (important!)</t>
  </si>
  <si>
    <t>💡 HINTS:
• Database Function syntax: DFUNCTION(database, field, criteria)
  - database = entire data table (including headers)
  - field = column to calculate ("column_name" or column number)
  - criteria = filter conditions (header + condition range)
• DSUM — sums values matching criteria
• DCOUNT — counts values matching criteria (numbers only)
• DAVERAGE/DMIN/DMAX — calculates average/minimum/maximum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</si>
</sst>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375623"/>
      <name val="Calibri"/>
      <family val="2"/>
      <scheme val="minor"/>
    </font>
    <font>
      <i/>
      <sz val="11"/>
      <color rgb="FF1E8449"/>
      <name val="Calibri"/>
      <family val="2"/>
      <scheme val="minor"/>
    </font>
    <font>
      <i/>
      <sz val="11"/>
      <color rgb="FF9A7D0A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rgb="FF1F618D"/>
      <name val="Calibri"/>
      <family val="2"/>
      <scheme val="minor"/>
    </font>
    <font>
      <i/>
      <sz val="14"/>
      <color rgb="FF7D3C98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E74C3C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1F9"/>
        <bgColor indexed="64"/>
      </patternFill>
    </fill>
    <fill>
      <patternFill patternType="solid">
        <fgColor rgb="FF5B2C6F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922B21"/>
        <bgColor indexed="64"/>
      </patternFill>
    </fill>
    <fill>
      <patternFill patternType="solid">
        <fgColor rgb="FF2E86AB"/>
        <bgColor indexed="64"/>
      </patternFill>
    </fill>
    <fill>
      <patternFill patternType="solid">
        <fgColor rgb="FF5DADE2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16A085"/>
        <bgColor indexed="64"/>
      </patternFill>
    </fill>
    <fill>
      <patternFill patternType="solid">
        <fgColor rgb="FF117A65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CA6F1E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D7BDE2"/>
        <bgColor indexed="64"/>
      </patternFill>
    </fill>
    <fill>
      <patternFill patternType="solid">
        <fgColor rgb="FFEBDEF0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D5D8DC"/>
        <bgColor indexed="64"/>
      </patternFill>
    </fill>
    <fill>
      <patternFill patternType="solid">
        <fgColor rgb="FF1B4F72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F8C47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82E0AA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ABEBC6"/>
        <bgColor indexed="64"/>
      </patternFill>
    </fill>
    <fill>
      <patternFill patternType="solid">
        <fgColor rgb="FFF5B7B1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F9E79F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4" borderId="0" xfId="0" applyFont="1" applyFill="1"/>
    <xf numFmtId="0" fontId="0" fillId="6" borderId="6" xfId="0" applyFill="1" applyBorder="1"/>
    <xf numFmtId="14" fontId="0" fillId="6" borderId="6" xfId="0" applyNumberFormat="1" applyFill="1" applyBorder="1"/>
    <xf numFmtId="0" fontId="0" fillId="2" borderId="6" xfId="0" applyFill="1" applyBorder="1"/>
    <xf numFmtId="14" fontId="0" fillId="2" borderId="6" xfId="0" applyNumberFormat="1" applyFill="1" applyBorder="1"/>
    <xf numFmtId="0" fontId="4" fillId="5" borderId="6" xfId="0" applyFont="1" applyFill="1" applyBorder="1" applyAlignment="1">
      <alignment horizontal="center"/>
    </xf>
    <xf numFmtId="0" fontId="0" fillId="11" borderId="6" xfId="0" applyFill="1" applyBorder="1"/>
    <xf numFmtId="0" fontId="0" fillId="14" borderId="6" xfId="0" applyFill="1" applyBorder="1"/>
    <xf numFmtId="0" fontId="4" fillId="15" borderId="6" xfId="0" applyFont="1" applyFill="1" applyBorder="1" applyAlignment="1">
      <alignment horizontal="center"/>
    </xf>
    <xf numFmtId="0" fontId="1" fillId="17" borderId="6" xfId="0" applyFont="1" applyFill="1" applyBorder="1" applyAlignment="1">
      <alignment horizontal="center"/>
    </xf>
    <xf numFmtId="0" fontId="0" fillId="18" borderId="6" xfId="0" applyFill="1" applyBorder="1"/>
    <xf numFmtId="0" fontId="0" fillId="12" borderId="0" xfId="0" applyFont="1" applyFill="1"/>
    <xf numFmtId="0" fontId="0" fillId="12" borderId="6" xfId="0" applyFill="1" applyBorder="1"/>
    <xf numFmtId="0" fontId="0" fillId="25" borderId="6" xfId="0" applyFill="1" applyBorder="1"/>
    <xf numFmtId="0" fontId="4" fillId="24" borderId="6" xfId="0" applyFont="1" applyFill="1" applyBorder="1" applyAlignment="1">
      <alignment horizontal="center"/>
    </xf>
    <xf numFmtId="0" fontId="1" fillId="27" borderId="0" xfId="0" applyFont="1" applyFill="1"/>
    <xf numFmtId="0" fontId="8" fillId="27" borderId="6" xfId="0" applyFont="1" applyFill="1" applyBorder="1"/>
    <xf numFmtId="0" fontId="1" fillId="0" borderId="6" xfId="0" applyFont="1" applyBorder="1"/>
    <xf numFmtId="0" fontId="0" fillId="29" borderId="6" xfId="0" applyFill="1" applyBorder="1"/>
    <xf numFmtId="0" fontId="0" fillId="30" borderId="6" xfId="0" applyFill="1" applyBorder="1"/>
    <xf numFmtId="9" fontId="0" fillId="30" borderId="6" xfId="0" applyNumberFormat="1" applyFill="1" applyBorder="1"/>
    <xf numFmtId="0" fontId="1" fillId="35" borderId="6" xfId="0" applyFont="1" applyFill="1" applyBorder="1"/>
    <xf numFmtId="0" fontId="1" fillId="27" borderId="6" xfId="0" applyFont="1" applyFill="1" applyBorder="1"/>
    <xf numFmtId="0" fontId="1" fillId="37" borderId="6" xfId="0" applyFont="1" applyFill="1" applyBorder="1"/>
    <xf numFmtId="0" fontId="0" fillId="38" borderId="6" xfId="0" applyFill="1" applyBorder="1"/>
    <xf numFmtId="0" fontId="4" fillId="17" borderId="6" xfId="0" applyFont="1" applyFill="1" applyBorder="1" applyAlignment="1">
      <alignment horizontal="center"/>
    </xf>
    <xf numFmtId="0" fontId="12" fillId="12" borderId="0" xfId="0" applyFont="1" applyFill="1" applyBorder="1"/>
    <xf numFmtId="0" fontId="12" fillId="12" borderId="1" xfId="0" applyFont="1" applyFill="1" applyBorder="1"/>
    <xf numFmtId="0" fontId="12" fillId="12" borderId="9" xfId="0" applyFont="1" applyFill="1" applyBorder="1"/>
    <xf numFmtId="0" fontId="12" fillId="12" borderId="5" xfId="0" applyFont="1" applyFill="1" applyBorder="1"/>
    <xf numFmtId="0" fontId="12" fillId="12" borderId="2" xfId="0" applyFont="1" applyFill="1" applyBorder="1"/>
    <xf numFmtId="0" fontId="12" fillId="12" borderId="4" xfId="0" applyFont="1" applyFill="1" applyBorder="1"/>
    <xf numFmtId="0" fontId="0" fillId="23" borderId="6" xfId="0" applyFill="1" applyBorder="1" applyAlignment="1">
      <alignment vertical="center"/>
    </xf>
    <xf numFmtId="0" fontId="0" fillId="40" borderId="6" xfId="0" applyFill="1" applyBorder="1" applyAlignment="1">
      <alignment vertical="center"/>
    </xf>
    <xf numFmtId="0" fontId="0" fillId="41" borderId="6" xfId="0" applyFill="1" applyBorder="1" applyAlignment="1">
      <alignment vertical="center"/>
    </xf>
    <xf numFmtId="0" fontId="0" fillId="29" borderId="6" xfId="0" applyFill="1" applyBorder="1" applyAlignment="1">
      <alignment vertical="center"/>
    </xf>
    <xf numFmtId="0" fontId="0" fillId="42" borderId="6" xfId="0" applyFill="1" applyBorder="1" applyAlignment="1">
      <alignment vertical="center"/>
    </xf>
    <xf numFmtId="0" fontId="0" fillId="43" borderId="6" xfId="0" applyFill="1" applyBorder="1" applyAlignment="1">
      <alignment vertical="center"/>
    </xf>
    <xf numFmtId="0" fontId="0" fillId="9" borderId="0" xfId="0" applyFont="1" applyFill="1" applyAlignment="1">
      <alignment vertical="center"/>
    </xf>
    <xf numFmtId="0" fontId="4" fillId="10" borderId="6" xfId="0" applyFont="1" applyFill="1" applyBorder="1" applyAlignment="1">
      <alignment horizontal="center" vertical="center"/>
    </xf>
    <xf numFmtId="0" fontId="4" fillId="20" borderId="6" xfId="0" applyFont="1" applyFill="1" applyBorder="1" applyAlignment="1">
      <alignment horizontal="center" vertical="center"/>
    </xf>
    <xf numFmtId="0" fontId="4" fillId="33" borderId="6" xfId="0" applyFont="1" applyFill="1" applyBorder="1" applyAlignment="1">
      <alignment horizontal="center" vertical="center"/>
    </xf>
    <xf numFmtId="164" fontId="4" fillId="5" borderId="6" xfId="0" applyNumberFormat="1" applyFont="1" applyFill="1" applyBorder="1" applyAlignment="1">
      <alignment horizontal="center"/>
    </xf>
    <xf numFmtId="164" fontId="0" fillId="6" borderId="6" xfId="0" applyNumberFormat="1" applyFill="1" applyBorder="1"/>
    <xf numFmtId="164" fontId="0" fillId="2" borderId="6" xfId="0" applyNumberFormat="1" applyFill="1" applyBorder="1"/>
    <xf numFmtId="10" fontId="4" fillId="5" borderId="6" xfId="0" applyNumberFormat="1" applyFont="1" applyFill="1" applyBorder="1" applyAlignment="1">
      <alignment horizontal="center"/>
    </xf>
    <xf numFmtId="10" fontId="0" fillId="6" borderId="6" xfId="0" applyNumberFormat="1" applyFill="1" applyBorder="1"/>
    <xf numFmtId="10" fontId="0" fillId="2" borderId="6" xfId="0" applyNumberFormat="1" applyFill="1" applyBorder="1"/>
    <xf numFmtId="0" fontId="0" fillId="44" borderId="6" xfId="0" applyFill="1" applyBorder="1"/>
    <xf numFmtId="9" fontId="0" fillId="0" borderId="0" xfId="0" applyNumberFormat="1"/>
    <xf numFmtId="0" fontId="11" fillId="36" borderId="8" xfId="0" applyFont="1" applyFill="1" applyBorder="1" applyAlignment="1">
      <alignment horizontal="center" vertical="center"/>
    </xf>
    <xf numFmtId="0" fontId="11" fillId="36" borderId="3" xfId="0" applyFont="1" applyFill="1" applyBorder="1" applyAlignment="1">
      <alignment horizontal="center" vertical="center"/>
    </xf>
    <xf numFmtId="0" fontId="11" fillId="36" borderId="7" xfId="0" applyFont="1" applyFill="1" applyBorder="1" applyAlignment="1">
      <alignment horizontal="center" vertical="center"/>
    </xf>
    <xf numFmtId="0" fontId="13" fillId="12" borderId="0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3" fillId="9" borderId="0" xfId="0" applyFont="1" applyFill="1" applyAlignment="1">
      <alignment vertical="center"/>
    </xf>
    <xf numFmtId="0" fontId="6" fillId="12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/>
    </xf>
    <xf numFmtId="0" fontId="3" fillId="14" borderId="0" xfId="0" applyFont="1" applyFill="1"/>
    <xf numFmtId="0" fontId="4" fillId="16" borderId="6" xfId="0" applyFont="1" applyFill="1" applyBorder="1" applyAlignment="1">
      <alignment horizontal="center"/>
    </xf>
    <xf numFmtId="0" fontId="2" fillId="19" borderId="0" xfId="0" applyFont="1" applyFill="1" applyAlignment="1">
      <alignment horizontal="center" vertical="center"/>
    </xf>
    <xf numFmtId="0" fontId="3" fillId="12" borderId="0" xfId="0" applyFont="1" applyFill="1"/>
    <xf numFmtId="0" fontId="7" fillId="21" borderId="0" xfId="0" applyFont="1" applyFill="1" applyAlignment="1">
      <alignment horizontal="center" vertical="center" wrapText="1"/>
    </xf>
    <xf numFmtId="0" fontId="2" fillId="22" borderId="0" xfId="0" applyFont="1" applyFill="1" applyAlignment="1">
      <alignment horizontal="center" vertical="center"/>
    </xf>
    <xf numFmtId="0" fontId="1" fillId="23" borderId="0" xfId="0" applyFont="1" applyFill="1"/>
    <xf numFmtId="0" fontId="4" fillId="26" borderId="9" xfId="0" applyFont="1" applyFill="1" applyBorder="1" applyAlignment="1">
      <alignment horizontal="center"/>
    </xf>
    <xf numFmtId="0" fontId="4" fillId="26" borderId="0" xfId="0" applyFont="1" applyFill="1" applyBorder="1" applyAlignment="1">
      <alignment horizontal="center"/>
    </xf>
    <xf numFmtId="0" fontId="4" fillId="28" borderId="0" xfId="0" applyFont="1" applyFill="1"/>
    <xf numFmtId="0" fontId="7" fillId="39" borderId="0" xfId="0" applyFont="1" applyFill="1" applyAlignment="1">
      <alignment horizontal="center" vertical="center" wrapText="1"/>
    </xf>
    <xf numFmtId="0" fontId="2" fillId="31" borderId="0" xfId="0" applyFont="1" applyFill="1" applyAlignment="1">
      <alignment horizontal="center" vertical="center"/>
    </xf>
    <xf numFmtId="0" fontId="1" fillId="32" borderId="0" xfId="0" applyFont="1" applyFill="1"/>
    <xf numFmtId="0" fontId="4" fillId="34" borderId="6" xfId="0" applyFont="1" applyFill="1" applyBorder="1" applyAlignment="1">
      <alignment horizontal="center" vertical="center"/>
    </xf>
    <xf numFmtId="0" fontId="4" fillId="36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ED8C-5500-46DE-890E-5427A0E29E31}">
  <dimension ref="B2:E21"/>
  <sheetViews>
    <sheetView tabSelected="1" workbookViewId="0">
      <selection activeCell="K1" sqref="K1"/>
    </sheetView>
  </sheetViews>
  <sheetFormatPr defaultRowHeight="14.5" x14ac:dyDescent="0.35"/>
  <cols>
    <col min="1" max="1" width="3.08984375" customWidth="1"/>
    <col min="2" max="2" width="9.08984375" customWidth="1"/>
    <col min="3" max="3" width="27.26953125" customWidth="1"/>
    <col min="4" max="4" width="45.453125" customWidth="1"/>
    <col min="5" max="5" width="18.1796875" customWidth="1"/>
  </cols>
  <sheetData>
    <row r="2" spans="2:5" ht="50" customHeight="1" x14ac:dyDescent="0.8">
      <c r="B2" s="56" t="s">
        <v>164</v>
      </c>
      <c r="C2" s="56"/>
      <c r="D2" s="56"/>
      <c r="E2" s="56"/>
    </row>
    <row r="3" spans="2:5" ht="30" customHeight="1" x14ac:dyDescent="0.45">
      <c r="B3" s="57" t="s">
        <v>165</v>
      </c>
      <c r="C3" s="57"/>
      <c r="D3" s="57"/>
      <c r="E3" s="57"/>
    </row>
    <row r="5" spans="2:5" ht="35" customHeight="1" x14ac:dyDescent="0.35">
      <c r="B5" s="55" t="s">
        <v>166</v>
      </c>
      <c r="C5" s="55"/>
      <c r="D5" s="55"/>
      <c r="E5" s="55"/>
    </row>
    <row r="6" spans="2:5" x14ac:dyDescent="0.35">
      <c r="B6" s="26" t="s">
        <v>167</v>
      </c>
      <c r="C6" s="26" t="s">
        <v>168</v>
      </c>
      <c r="D6" s="26" t="s">
        <v>169</v>
      </c>
      <c r="E6" s="26" t="s">
        <v>170</v>
      </c>
    </row>
    <row r="7" spans="2:5" ht="28" customHeight="1" x14ac:dyDescent="0.35">
      <c r="B7" s="33" t="s">
        <v>171</v>
      </c>
      <c r="C7" s="33" t="s">
        <v>172</v>
      </c>
      <c r="D7" s="33" t="s">
        <v>173</v>
      </c>
      <c r="E7" s="33" t="s">
        <v>174</v>
      </c>
    </row>
    <row r="8" spans="2:5" ht="28" customHeight="1" x14ac:dyDescent="0.35">
      <c r="B8" s="34" t="s">
        <v>175</v>
      </c>
      <c r="C8" s="34" t="s">
        <v>176</v>
      </c>
      <c r="D8" s="34" t="s">
        <v>177</v>
      </c>
      <c r="E8" s="34" t="s">
        <v>174</v>
      </c>
    </row>
    <row r="9" spans="2:5" ht="28" customHeight="1" x14ac:dyDescent="0.35">
      <c r="B9" s="35" t="s">
        <v>178</v>
      </c>
      <c r="C9" s="35" t="s">
        <v>179</v>
      </c>
      <c r="D9" s="35" t="s">
        <v>180</v>
      </c>
      <c r="E9" s="35" t="s">
        <v>181</v>
      </c>
    </row>
    <row r="10" spans="2:5" ht="28" customHeight="1" x14ac:dyDescent="0.35">
      <c r="B10" s="36" t="s">
        <v>182</v>
      </c>
      <c r="C10" s="36" t="s">
        <v>183</v>
      </c>
      <c r="D10" s="36" t="s">
        <v>184</v>
      </c>
      <c r="E10" s="36" t="s">
        <v>181</v>
      </c>
    </row>
    <row r="11" spans="2:5" ht="28" customHeight="1" x14ac:dyDescent="0.35">
      <c r="B11" s="37" t="s">
        <v>185</v>
      </c>
      <c r="C11" s="37" t="s">
        <v>186</v>
      </c>
      <c r="D11" s="37" t="s">
        <v>187</v>
      </c>
      <c r="E11" s="37" t="s">
        <v>188</v>
      </c>
    </row>
    <row r="12" spans="2:5" ht="28" customHeight="1" x14ac:dyDescent="0.35">
      <c r="B12" s="38" t="s">
        <v>189</v>
      </c>
      <c r="C12" s="38" t="s">
        <v>190</v>
      </c>
      <c r="D12" s="38" t="s">
        <v>191</v>
      </c>
      <c r="E12" s="38" t="s">
        <v>188</v>
      </c>
    </row>
    <row r="14" spans="2:5" ht="18.5" x14ac:dyDescent="0.35">
      <c r="B14" s="51" t="s">
        <v>192</v>
      </c>
      <c r="C14" s="52"/>
      <c r="D14" s="52"/>
      <c r="E14" s="53"/>
    </row>
    <row r="15" spans="2:5" ht="15.5" x14ac:dyDescent="0.35">
      <c r="B15" s="29" t="s">
        <v>193</v>
      </c>
      <c r="C15" s="27"/>
      <c r="D15" s="27"/>
      <c r="E15" s="31"/>
    </row>
    <row r="16" spans="2:5" ht="15.5" x14ac:dyDescent="0.35">
      <c r="B16" s="29" t="s">
        <v>194</v>
      </c>
      <c r="C16" s="27"/>
      <c r="D16" s="27"/>
      <c r="E16" s="31"/>
    </row>
    <row r="17" spans="2:5" ht="15.5" x14ac:dyDescent="0.35">
      <c r="B17" s="29" t="s">
        <v>195</v>
      </c>
      <c r="C17" s="27"/>
      <c r="D17" s="27"/>
      <c r="E17" s="31"/>
    </row>
    <row r="18" spans="2:5" ht="15.5" x14ac:dyDescent="0.35">
      <c r="B18" s="29" t="s">
        <v>196</v>
      </c>
      <c r="C18" s="27"/>
      <c r="D18" s="27"/>
      <c r="E18" s="31"/>
    </row>
    <row r="19" spans="2:5" ht="15.5" x14ac:dyDescent="0.35">
      <c r="B19" s="30" t="s">
        <v>197</v>
      </c>
      <c r="C19" s="28"/>
      <c r="D19" s="28"/>
      <c r="E19" s="32"/>
    </row>
    <row r="21" spans="2:5" ht="40" customHeight="1" x14ac:dyDescent="0.35">
      <c r="B21" s="54" t="s">
        <v>198</v>
      </c>
      <c r="C21" s="54"/>
      <c r="D21" s="54"/>
      <c r="E21" s="54"/>
    </row>
  </sheetData>
  <mergeCells count="5">
    <mergeCell ref="B14:E14"/>
    <mergeCell ref="B21:E21"/>
    <mergeCell ref="B5:E5"/>
    <mergeCell ref="B2:E2"/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opLeftCell="A6" workbookViewId="0">
      <selection activeCell="G17" sqref="G17"/>
    </sheetView>
  </sheetViews>
  <sheetFormatPr defaultColWidth="25.6328125" defaultRowHeight="14.5" x14ac:dyDescent="0.35"/>
  <cols>
    <col min="1" max="1" width="9.08984375" customWidth="1"/>
    <col min="2" max="2" width="25.6328125" customWidth="1"/>
    <col min="3" max="3" width="18.1796875" customWidth="1"/>
    <col min="4" max="4" width="16.36328125" customWidth="1"/>
    <col min="5" max="6" width="14.54296875" customWidth="1"/>
    <col min="7" max="7" width="18.1796875" customWidth="1"/>
    <col min="8" max="19" width="18" customWidth="1"/>
  </cols>
  <sheetData>
    <row r="1" spans="1:7" ht="35" customHeight="1" x14ac:dyDescent="0.5">
      <c r="A1" s="58" t="s">
        <v>72</v>
      </c>
      <c r="B1" s="58"/>
      <c r="C1" s="58"/>
      <c r="D1" s="58"/>
      <c r="E1" s="58"/>
      <c r="F1" s="58"/>
      <c r="G1" s="58"/>
    </row>
    <row r="3" spans="1:7" ht="15.5" x14ac:dyDescent="0.35">
      <c r="A3" s="59" t="s">
        <v>73</v>
      </c>
      <c r="B3" s="59"/>
      <c r="C3" s="59"/>
      <c r="D3" s="59"/>
      <c r="E3" s="59"/>
      <c r="F3" s="59"/>
      <c r="G3" s="59"/>
    </row>
    <row r="4" spans="1:7" x14ac:dyDescent="0.35">
      <c r="A4" s="1" t="s">
        <v>74</v>
      </c>
      <c r="B4" s="1"/>
      <c r="C4" s="1"/>
      <c r="D4" s="1"/>
      <c r="E4" s="1"/>
      <c r="F4" s="1"/>
      <c r="G4" s="1"/>
    </row>
    <row r="5" spans="1:7" x14ac:dyDescent="0.35">
      <c r="A5" s="1" t="s">
        <v>75</v>
      </c>
      <c r="B5" s="1"/>
      <c r="C5" s="1"/>
      <c r="D5" s="1"/>
      <c r="E5" s="1"/>
      <c r="F5" s="1"/>
      <c r="G5" s="1"/>
    </row>
    <row r="6" spans="1:7" x14ac:dyDescent="0.35">
      <c r="A6" s="1" t="s">
        <v>76</v>
      </c>
      <c r="B6" s="1"/>
      <c r="C6" s="1"/>
      <c r="D6" s="1"/>
      <c r="E6" s="1"/>
      <c r="F6" s="1"/>
      <c r="G6" s="1"/>
    </row>
    <row r="7" spans="1:7" x14ac:dyDescent="0.35">
      <c r="A7" s="1" t="s">
        <v>77</v>
      </c>
      <c r="B7" s="1"/>
      <c r="C7" s="1"/>
      <c r="D7" s="1"/>
      <c r="E7" s="1"/>
      <c r="F7" s="1"/>
      <c r="G7" s="1"/>
    </row>
    <row r="9" spans="1:7" x14ac:dyDescent="0.35">
      <c r="A9" s="6" t="s">
        <v>0</v>
      </c>
      <c r="B9" s="6" t="s">
        <v>1</v>
      </c>
      <c r="C9" s="6" t="s">
        <v>2</v>
      </c>
      <c r="D9" s="43" t="s">
        <v>3</v>
      </c>
      <c r="E9" s="46" t="s">
        <v>4</v>
      </c>
      <c r="F9" s="6" t="s">
        <v>5</v>
      </c>
      <c r="G9" s="6" t="s">
        <v>78</v>
      </c>
    </row>
    <row r="10" spans="1:7" x14ac:dyDescent="0.35">
      <c r="A10" s="2">
        <v>101</v>
      </c>
      <c r="B10" s="2" t="s">
        <v>6</v>
      </c>
      <c r="C10" s="3">
        <v>45306</v>
      </c>
      <c r="D10" s="44">
        <v>75000</v>
      </c>
      <c r="E10" s="47">
        <v>0.18</v>
      </c>
      <c r="F10" s="2">
        <v>5</v>
      </c>
      <c r="G10" s="44">
        <f>D10*F10*(1+E10)</f>
        <v>442500</v>
      </c>
    </row>
    <row r="11" spans="1:7" x14ac:dyDescent="0.35">
      <c r="A11" s="4">
        <v>102</v>
      </c>
      <c r="B11" s="4" t="s">
        <v>7</v>
      </c>
      <c r="C11" s="5">
        <v>45307</v>
      </c>
      <c r="D11" s="45">
        <v>500</v>
      </c>
      <c r="E11" s="48">
        <v>0.12</v>
      </c>
      <c r="F11" s="4">
        <v>50</v>
      </c>
      <c r="G11" s="44">
        <f t="shared" ref="G11:G21" si="0">D11*F11*(1+E11)</f>
        <v>28000.000000000004</v>
      </c>
    </row>
    <row r="12" spans="1:7" x14ac:dyDescent="0.35">
      <c r="A12" s="2">
        <v>103</v>
      </c>
      <c r="B12" s="2" t="s">
        <v>8</v>
      </c>
      <c r="C12" s="3">
        <v>45332</v>
      </c>
      <c r="D12" s="44">
        <v>18000</v>
      </c>
      <c r="E12" s="47">
        <v>0.18</v>
      </c>
      <c r="F12" s="2">
        <v>10</v>
      </c>
      <c r="G12" s="44">
        <f t="shared" si="0"/>
        <v>212400</v>
      </c>
    </row>
    <row r="13" spans="1:7" x14ac:dyDescent="0.35">
      <c r="A13" s="4">
        <v>104</v>
      </c>
      <c r="B13" s="4" t="s">
        <v>79</v>
      </c>
      <c r="C13" s="5">
        <v>45336</v>
      </c>
      <c r="D13" s="45">
        <v>1200</v>
      </c>
      <c r="E13" s="48">
        <v>0.12</v>
      </c>
      <c r="F13" s="4">
        <v>30</v>
      </c>
      <c r="G13" s="44">
        <f t="shared" si="0"/>
        <v>40320.000000000007</v>
      </c>
    </row>
    <row r="14" spans="1:7" x14ac:dyDescent="0.35">
      <c r="A14" s="2">
        <v>105</v>
      </c>
      <c r="B14" s="2" t="s">
        <v>80</v>
      </c>
      <c r="C14" s="3">
        <v>45352</v>
      </c>
      <c r="D14" s="44">
        <v>12000</v>
      </c>
      <c r="E14" s="47">
        <v>0.18</v>
      </c>
      <c r="F14" s="2">
        <v>8</v>
      </c>
      <c r="G14" s="44">
        <f t="shared" si="0"/>
        <v>113280</v>
      </c>
    </row>
    <row r="15" spans="1:7" x14ac:dyDescent="0.35">
      <c r="A15" s="4">
        <v>106</v>
      </c>
      <c r="B15" s="4" t="s">
        <v>81</v>
      </c>
      <c r="C15" s="5">
        <v>45356</v>
      </c>
      <c r="D15" s="45">
        <v>2500</v>
      </c>
      <c r="E15" s="48">
        <v>0.12</v>
      </c>
      <c r="F15" s="4">
        <v>25</v>
      </c>
      <c r="G15" s="44">
        <f t="shared" si="0"/>
        <v>70000</v>
      </c>
    </row>
    <row r="16" spans="1:7" x14ac:dyDescent="0.35">
      <c r="A16" s="2">
        <v>107</v>
      </c>
      <c r="B16" s="2" t="s">
        <v>82</v>
      </c>
      <c r="C16" s="3">
        <v>45363</v>
      </c>
      <c r="D16" s="44">
        <v>3500</v>
      </c>
      <c r="E16" s="47">
        <v>0.18</v>
      </c>
      <c r="F16" s="2">
        <v>15</v>
      </c>
      <c r="G16" s="44">
        <f t="shared" si="0"/>
        <v>61950</v>
      </c>
    </row>
    <row r="17" spans="1:7" x14ac:dyDescent="0.35">
      <c r="A17" s="4">
        <v>108</v>
      </c>
      <c r="B17" s="4" t="s">
        <v>83</v>
      </c>
      <c r="C17" s="5">
        <v>45383</v>
      </c>
      <c r="D17" s="45">
        <v>800</v>
      </c>
      <c r="E17" s="48">
        <v>0.12</v>
      </c>
      <c r="F17" s="4">
        <v>40</v>
      </c>
      <c r="G17" s="44">
        <f t="shared" si="0"/>
        <v>35840</v>
      </c>
    </row>
    <row r="18" spans="1:7" x14ac:dyDescent="0.35">
      <c r="A18" s="2">
        <v>109</v>
      </c>
      <c r="B18" s="2" t="s">
        <v>84</v>
      </c>
      <c r="C18" s="3">
        <v>45397</v>
      </c>
      <c r="D18" s="44">
        <v>5500</v>
      </c>
      <c r="E18" s="47">
        <v>0.18</v>
      </c>
      <c r="F18" s="2">
        <v>20</v>
      </c>
      <c r="G18" s="44">
        <f t="shared" si="0"/>
        <v>129800</v>
      </c>
    </row>
    <row r="19" spans="1:7" x14ac:dyDescent="0.35">
      <c r="A19" s="4">
        <v>110</v>
      </c>
      <c r="B19" s="4" t="s">
        <v>85</v>
      </c>
      <c r="C19" s="5">
        <v>45413</v>
      </c>
      <c r="D19" s="45">
        <v>3200</v>
      </c>
      <c r="E19" s="48">
        <v>0.18</v>
      </c>
      <c r="F19" s="4">
        <v>35</v>
      </c>
      <c r="G19" s="44">
        <f t="shared" si="0"/>
        <v>132160</v>
      </c>
    </row>
    <row r="20" spans="1:7" x14ac:dyDescent="0.35">
      <c r="A20" s="2">
        <v>111</v>
      </c>
      <c r="B20" s="2" t="s">
        <v>86</v>
      </c>
      <c r="C20" s="3">
        <v>45422</v>
      </c>
      <c r="D20" s="44">
        <v>45000</v>
      </c>
      <c r="E20" s="47">
        <v>0.18</v>
      </c>
      <c r="F20" s="2">
        <v>4</v>
      </c>
      <c r="G20" s="44">
        <f t="shared" si="0"/>
        <v>212400</v>
      </c>
    </row>
    <row r="21" spans="1:7" x14ac:dyDescent="0.35">
      <c r="A21" s="4">
        <v>112</v>
      </c>
      <c r="B21" s="4" t="s">
        <v>87</v>
      </c>
      <c r="C21" s="5">
        <v>45432</v>
      </c>
      <c r="D21" s="45">
        <v>1500</v>
      </c>
      <c r="E21" s="48">
        <v>0.12</v>
      </c>
      <c r="F21" s="4">
        <v>60</v>
      </c>
      <c r="G21" s="44">
        <f t="shared" si="0"/>
        <v>100800.00000000001</v>
      </c>
    </row>
    <row r="23" spans="1:7" ht="85" customHeight="1" x14ac:dyDescent="0.35">
      <c r="A23" s="60" t="s">
        <v>199</v>
      </c>
      <c r="B23" s="61"/>
      <c r="C23" s="61"/>
      <c r="D23" s="61"/>
      <c r="E23" s="61"/>
      <c r="F23" s="61"/>
      <c r="G23" s="61"/>
    </row>
  </sheetData>
  <mergeCells count="3">
    <mergeCell ref="A1:G1"/>
    <mergeCell ref="A3:G3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opLeftCell="A2" workbookViewId="0">
      <selection activeCell="H11" sqref="H11"/>
    </sheetView>
  </sheetViews>
  <sheetFormatPr defaultRowHeight="14.5" x14ac:dyDescent="0.35"/>
  <cols>
    <col min="1" max="1" width="20" customWidth="1"/>
    <col min="2" max="4" width="12.7265625" customWidth="1"/>
    <col min="5" max="5" width="16.36328125" customWidth="1"/>
    <col min="6" max="6" width="14.54296875" customWidth="1"/>
    <col min="7" max="7" width="18.1796875" customWidth="1"/>
    <col min="8" max="8" width="16.36328125" customWidth="1"/>
    <col min="9" max="19" width="18" customWidth="1"/>
  </cols>
  <sheetData>
    <row r="1" spans="1:8" ht="35" customHeight="1" x14ac:dyDescent="0.5">
      <c r="A1" s="62" t="s">
        <v>88</v>
      </c>
      <c r="B1" s="62"/>
      <c r="C1" s="62"/>
      <c r="D1" s="62"/>
      <c r="E1" s="62"/>
      <c r="F1" s="62"/>
      <c r="G1" s="62"/>
      <c r="H1" s="62"/>
    </row>
    <row r="2" spans="1:8" ht="16" customHeight="1" x14ac:dyDescent="0.35"/>
    <row r="3" spans="1:8" ht="20" customHeight="1" x14ac:dyDescent="0.35">
      <c r="A3" s="63" t="s">
        <v>73</v>
      </c>
      <c r="B3" s="63"/>
      <c r="C3" s="63"/>
      <c r="D3" s="63"/>
      <c r="E3" s="63"/>
      <c r="F3" s="63"/>
      <c r="G3" s="63"/>
      <c r="H3" s="63"/>
    </row>
    <row r="4" spans="1:8" ht="25" customHeight="1" x14ac:dyDescent="0.35">
      <c r="A4" s="39" t="s">
        <v>89</v>
      </c>
      <c r="B4" s="39"/>
      <c r="C4" s="39"/>
      <c r="D4" s="39"/>
      <c r="E4" s="39"/>
      <c r="F4" s="39"/>
      <c r="G4" s="39"/>
      <c r="H4" s="39"/>
    </row>
    <row r="5" spans="1:8" ht="22" customHeight="1" x14ac:dyDescent="0.35">
      <c r="A5" s="39" t="s">
        <v>90</v>
      </c>
      <c r="B5" s="39"/>
      <c r="C5" s="39"/>
      <c r="D5" s="39"/>
      <c r="E5" s="39"/>
      <c r="F5" s="39"/>
      <c r="G5" s="39"/>
      <c r="H5" s="39"/>
    </row>
    <row r="6" spans="1:8" ht="22" customHeight="1" x14ac:dyDescent="0.35">
      <c r="A6" s="39" t="s">
        <v>91</v>
      </c>
      <c r="B6" s="39"/>
      <c r="C6" s="39"/>
      <c r="D6" s="39"/>
      <c r="E6" s="39"/>
      <c r="F6" s="39"/>
      <c r="G6" s="39"/>
      <c r="H6" s="39"/>
    </row>
    <row r="7" spans="1:8" ht="22" customHeight="1" x14ac:dyDescent="0.35">
      <c r="A7" s="39" t="s">
        <v>92</v>
      </c>
      <c r="B7" s="39"/>
      <c r="C7" s="39"/>
      <c r="D7" s="39"/>
      <c r="E7" s="39"/>
      <c r="F7" s="39"/>
      <c r="G7" s="39"/>
      <c r="H7" s="39"/>
    </row>
    <row r="8" spans="1:8" ht="22" customHeight="1" x14ac:dyDescent="0.35">
      <c r="A8" s="39" t="s">
        <v>93</v>
      </c>
      <c r="B8" s="39"/>
      <c r="C8" s="39"/>
      <c r="D8" s="39"/>
      <c r="E8" s="39"/>
      <c r="F8" s="39"/>
      <c r="G8" s="39"/>
      <c r="H8" s="39"/>
    </row>
    <row r="9" spans="1:8" ht="22" customHeight="1" x14ac:dyDescent="0.35"/>
    <row r="10" spans="1:8" ht="28" customHeight="1" x14ac:dyDescent="0.35">
      <c r="A10" s="40" t="s">
        <v>9</v>
      </c>
      <c r="B10" s="40" t="s">
        <v>10</v>
      </c>
      <c r="C10" s="40" t="s">
        <v>11</v>
      </c>
      <c r="D10" s="40" t="s">
        <v>12</v>
      </c>
      <c r="E10" s="40" t="s">
        <v>70</v>
      </c>
      <c r="F10" s="40" t="s">
        <v>71</v>
      </c>
      <c r="G10" s="40" t="s">
        <v>13</v>
      </c>
      <c r="H10" s="40" t="s">
        <v>14</v>
      </c>
    </row>
    <row r="11" spans="1:8" x14ac:dyDescent="0.35">
      <c r="A11" s="4" t="s">
        <v>15</v>
      </c>
      <c r="B11" s="4">
        <v>98</v>
      </c>
      <c r="C11" s="4">
        <v>86</v>
      </c>
      <c r="D11" s="4">
        <v>59</v>
      </c>
      <c r="E11" s="4">
        <f>SUM(B11:D11)</f>
        <v>243</v>
      </c>
      <c r="F11" s="4">
        <f>AVERAGE(B11:D11)</f>
        <v>81</v>
      </c>
      <c r="G11" s="4">
        <v>31</v>
      </c>
      <c r="H11" s="4">
        <v>0.56216217575019689</v>
      </c>
    </row>
    <row r="12" spans="1:8" x14ac:dyDescent="0.35">
      <c r="A12" s="7" t="s">
        <v>16</v>
      </c>
      <c r="B12" s="4">
        <v>98</v>
      </c>
      <c r="C12" s="4">
        <v>86</v>
      </c>
      <c r="D12" s="4">
        <v>89</v>
      </c>
      <c r="E12" s="4">
        <f t="shared" ref="E12:E20" si="0">SUM(B12:D12)</f>
        <v>273</v>
      </c>
      <c r="F12" s="4">
        <f>AVERAGE(B12:D12)</f>
        <v>91</v>
      </c>
      <c r="G12" s="7">
        <v>11</v>
      </c>
      <c r="H12" s="4">
        <v>0.69314064004224263</v>
      </c>
    </row>
    <row r="13" spans="1:8" x14ac:dyDescent="0.35">
      <c r="A13" s="4" t="s">
        <v>17</v>
      </c>
      <c r="B13" s="4">
        <v>75</v>
      </c>
      <c r="C13" s="4">
        <v>81</v>
      </c>
      <c r="D13" s="4">
        <v>33</v>
      </c>
      <c r="E13" s="4">
        <f t="shared" si="0"/>
        <v>189</v>
      </c>
      <c r="F13" s="4">
        <f t="shared" ref="F13:F20" si="1">AVERAGE(B13:D13)</f>
        <v>63</v>
      </c>
      <c r="G13" s="4">
        <v>29</v>
      </c>
      <c r="H13" s="4">
        <v>0.93765502554361979</v>
      </c>
    </row>
    <row r="14" spans="1:8" x14ac:dyDescent="0.35">
      <c r="A14" s="7" t="s">
        <v>18</v>
      </c>
      <c r="B14" s="4">
        <v>54</v>
      </c>
      <c r="C14" s="4">
        <v>95</v>
      </c>
      <c r="D14" s="4">
        <v>81</v>
      </c>
      <c r="E14" s="4">
        <f t="shared" si="0"/>
        <v>230</v>
      </c>
      <c r="F14" s="4">
        <f t="shared" si="1"/>
        <v>76.666666666666671</v>
      </c>
      <c r="G14" s="7">
        <v>51</v>
      </c>
      <c r="H14" s="4">
        <v>6.5193022298532965E-2</v>
      </c>
    </row>
    <row r="15" spans="1:8" x14ac:dyDescent="0.35">
      <c r="A15" s="4" t="s">
        <v>19</v>
      </c>
      <c r="B15" s="4">
        <v>45</v>
      </c>
      <c r="C15" s="4">
        <v>36</v>
      </c>
      <c r="D15" s="4">
        <v>84</v>
      </c>
      <c r="E15" s="4">
        <f t="shared" si="0"/>
        <v>165</v>
      </c>
      <c r="F15" s="4">
        <f t="shared" si="1"/>
        <v>55</v>
      </c>
      <c r="G15" s="4">
        <v>62</v>
      </c>
      <c r="H15" s="4">
        <v>0.50724763851791987</v>
      </c>
    </row>
    <row r="16" spans="1:8" x14ac:dyDescent="0.35">
      <c r="A16" s="7" t="s">
        <v>94</v>
      </c>
      <c r="B16" s="4">
        <v>61</v>
      </c>
      <c r="C16" s="4">
        <v>93</v>
      </c>
      <c r="D16" s="4">
        <v>52</v>
      </c>
      <c r="E16" s="4">
        <f t="shared" si="0"/>
        <v>206</v>
      </c>
      <c r="F16" s="4">
        <f t="shared" si="1"/>
        <v>68.666666666666671</v>
      </c>
      <c r="G16" s="7">
        <v>58</v>
      </c>
      <c r="H16" s="4">
        <v>0.12579379005449931</v>
      </c>
    </row>
    <row r="17" spans="1:8" x14ac:dyDescent="0.35">
      <c r="A17" s="4" t="s">
        <v>95</v>
      </c>
      <c r="B17" s="4">
        <v>82</v>
      </c>
      <c r="C17" s="4">
        <v>50</v>
      </c>
      <c r="D17" s="4">
        <v>59</v>
      </c>
      <c r="E17" s="4">
        <f t="shared" si="0"/>
        <v>191</v>
      </c>
      <c r="F17" s="4">
        <f t="shared" si="1"/>
        <v>63.666666666666664</v>
      </c>
      <c r="G17" s="4">
        <v>15</v>
      </c>
      <c r="H17" s="4">
        <v>0.42198831471496578</v>
      </c>
    </row>
    <row r="18" spans="1:8" x14ac:dyDescent="0.35">
      <c r="A18" s="7" t="s">
        <v>96</v>
      </c>
      <c r="B18" s="4">
        <v>31</v>
      </c>
      <c r="C18" s="4">
        <v>32</v>
      </c>
      <c r="D18" s="4">
        <v>51</v>
      </c>
      <c r="E18" s="4">
        <f t="shared" si="0"/>
        <v>114</v>
      </c>
      <c r="F18" s="4">
        <f t="shared" si="1"/>
        <v>38</v>
      </c>
      <c r="G18" s="7">
        <v>60</v>
      </c>
      <c r="H18" s="4">
        <v>0.61543393572613136</v>
      </c>
    </row>
    <row r="19" spans="1:8" x14ac:dyDescent="0.35">
      <c r="A19" s="4" t="s">
        <v>97</v>
      </c>
      <c r="B19" s="4">
        <v>32</v>
      </c>
      <c r="C19" s="4">
        <v>40</v>
      </c>
      <c r="D19" s="4">
        <v>52</v>
      </c>
      <c r="E19" s="4">
        <f t="shared" si="0"/>
        <v>124</v>
      </c>
      <c r="F19" s="4">
        <f t="shared" si="1"/>
        <v>41.333333333333336</v>
      </c>
      <c r="G19" s="4">
        <v>57</v>
      </c>
      <c r="H19" s="4">
        <v>0.75002357764528138</v>
      </c>
    </row>
    <row r="20" spans="1:8" x14ac:dyDescent="0.35">
      <c r="A20" s="7" t="s">
        <v>98</v>
      </c>
      <c r="B20" s="4">
        <v>96</v>
      </c>
      <c r="C20" s="4">
        <v>71</v>
      </c>
      <c r="D20" s="4">
        <v>68</v>
      </c>
      <c r="E20" s="4">
        <f t="shared" si="0"/>
        <v>235</v>
      </c>
      <c r="F20" s="4">
        <f t="shared" si="1"/>
        <v>78.333333333333329</v>
      </c>
      <c r="G20" s="7">
        <v>50</v>
      </c>
      <c r="H20" s="4">
        <v>0.52959835427190738</v>
      </c>
    </row>
    <row r="22" spans="1:8" ht="85" customHeight="1" x14ac:dyDescent="0.35">
      <c r="A22" s="64" t="s">
        <v>200</v>
      </c>
      <c r="B22" s="65"/>
      <c r="C22" s="65"/>
      <c r="D22" s="65"/>
      <c r="E22" s="65"/>
      <c r="F22" s="65"/>
      <c r="G22" s="65"/>
      <c r="H22" s="65"/>
    </row>
  </sheetData>
  <mergeCells count="3">
    <mergeCell ref="A1:H1"/>
    <mergeCell ref="A3:H3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C6" sqref="C6"/>
    </sheetView>
  </sheetViews>
  <sheetFormatPr defaultRowHeight="14.5" x14ac:dyDescent="0.35"/>
  <cols>
    <col min="1" max="1" width="12.7265625" customWidth="1"/>
    <col min="2" max="2" width="14.54296875" customWidth="1"/>
    <col min="3" max="3" width="18.1796875" customWidth="1"/>
    <col min="4" max="4" width="12.7265625" customWidth="1"/>
    <col min="5" max="5" width="18" customWidth="1"/>
    <col min="6" max="6" width="25.453125" customWidth="1"/>
    <col min="7" max="7" width="18.1796875" customWidth="1"/>
    <col min="8" max="8" width="21.81640625" customWidth="1"/>
    <col min="9" max="19" width="18" customWidth="1"/>
  </cols>
  <sheetData>
    <row r="1" spans="1:8" ht="35" customHeight="1" x14ac:dyDescent="0.5">
      <c r="A1" s="66" t="s">
        <v>99</v>
      </c>
      <c r="B1" s="66"/>
      <c r="C1" s="66"/>
      <c r="D1" s="66"/>
      <c r="E1" s="66"/>
      <c r="F1" s="66"/>
      <c r="G1" s="66"/>
      <c r="H1" s="66"/>
    </row>
    <row r="3" spans="1:8" ht="15.5" x14ac:dyDescent="0.35">
      <c r="A3" s="67" t="s">
        <v>100</v>
      </c>
      <c r="B3" s="67"/>
      <c r="C3" s="67"/>
      <c r="D3" s="67"/>
      <c r="E3" s="67"/>
      <c r="F3" s="67"/>
      <c r="G3" s="67"/>
      <c r="H3" s="67"/>
    </row>
    <row r="5" spans="1:8" ht="25" customHeight="1" x14ac:dyDescent="0.35">
      <c r="A5" s="9" t="s">
        <v>20</v>
      </c>
      <c r="B5" s="9" t="s">
        <v>21</v>
      </c>
      <c r="C5" s="9" t="s">
        <v>22</v>
      </c>
      <c r="D5" s="9" t="s">
        <v>23</v>
      </c>
      <c r="F5" s="68" t="s">
        <v>109</v>
      </c>
      <c r="G5" s="68"/>
      <c r="H5" s="68"/>
    </row>
    <row r="6" spans="1:8" x14ac:dyDescent="0.35">
      <c r="A6" s="8" t="s">
        <v>24</v>
      </c>
      <c r="B6" s="8" t="s">
        <v>25</v>
      </c>
      <c r="C6" s="8">
        <v>5000</v>
      </c>
      <c r="D6" s="8" t="s">
        <v>26</v>
      </c>
      <c r="F6" s="10" t="s">
        <v>36</v>
      </c>
      <c r="G6" s="10" t="s">
        <v>110</v>
      </c>
      <c r="H6" s="10" t="s">
        <v>37</v>
      </c>
    </row>
    <row r="7" spans="1:8" x14ac:dyDescent="0.35">
      <c r="A7" s="4" t="s">
        <v>27</v>
      </c>
      <c r="B7" s="4" t="s">
        <v>28</v>
      </c>
      <c r="C7" s="4">
        <v>7000</v>
      </c>
      <c r="D7" s="4" t="s">
        <v>29</v>
      </c>
      <c r="F7" s="11" t="s">
        <v>111</v>
      </c>
      <c r="G7" s="11">
        <f>COUNT(C6:C20)</f>
        <v>12</v>
      </c>
      <c r="H7" s="11" t="s">
        <v>112</v>
      </c>
    </row>
    <row r="8" spans="1:8" x14ac:dyDescent="0.35">
      <c r="A8" s="8" t="s">
        <v>24</v>
      </c>
      <c r="B8" s="8" t="s">
        <v>30</v>
      </c>
      <c r="C8" s="8">
        <v>4500</v>
      </c>
      <c r="D8" s="8" t="s">
        <v>26</v>
      </c>
      <c r="F8" s="2" t="s">
        <v>113</v>
      </c>
      <c r="G8" s="2">
        <f>COUNTA(B6:B20)</f>
        <v>15</v>
      </c>
      <c r="H8" s="2" t="s">
        <v>38</v>
      </c>
    </row>
    <row r="9" spans="1:8" x14ac:dyDescent="0.35">
      <c r="A9" s="4" t="s">
        <v>31</v>
      </c>
      <c r="B9" s="4" t="s">
        <v>32</v>
      </c>
      <c r="C9" s="4"/>
      <c r="D9" s="4" t="s">
        <v>29</v>
      </c>
      <c r="F9" s="11" t="s">
        <v>114</v>
      </c>
      <c r="G9" s="11">
        <f>COUNTBLANK(C6:C20)</f>
        <v>3</v>
      </c>
      <c r="H9" s="11" t="s">
        <v>39</v>
      </c>
    </row>
    <row r="10" spans="1:8" x14ac:dyDescent="0.35">
      <c r="A10" s="8" t="s">
        <v>33</v>
      </c>
      <c r="B10" s="8" t="s">
        <v>34</v>
      </c>
      <c r="C10" s="8">
        <v>8000</v>
      </c>
      <c r="D10" s="8" t="s">
        <v>26</v>
      </c>
      <c r="F10" s="2" t="s">
        <v>40</v>
      </c>
      <c r="G10" s="2">
        <f>SUMIF(A6:A20,A6,C6:C20)</f>
        <v>22200</v>
      </c>
      <c r="H10" s="2" t="s">
        <v>41</v>
      </c>
    </row>
    <row r="11" spans="1:8" x14ac:dyDescent="0.35">
      <c r="A11" s="4" t="s">
        <v>24</v>
      </c>
      <c r="B11" s="4" t="s">
        <v>35</v>
      </c>
      <c r="C11" s="4">
        <v>3000</v>
      </c>
      <c r="D11" s="4" t="s">
        <v>26</v>
      </c>
      <c r="F11" s="11" t="s">
        <v>115</v>
      </c>
      <c r="G11" s="11">
        <f>SUMIFS(C6:C20,A6:A20,A6,D6:D20,D6)</f>
        <v>16700</v>
      </c>
      <c r="H11" s="11" t="s">
        <v>42</v>
      </c>
    </row>
    <row r="12" spans="1:8" x14ac:dyDescent="0.35">
      <c r="A12" s="8" t="s">
        <v>27</v>
      </c>
      <c r="B12" s="8" t="s">
        <v>101</v>
      </c>
      <c r="C12" s="8">
        <v>6500</v>
      </c>
      <c r="D12" s="8" t="s">
        <v>26</v>
      </c>
      <c r="F12" s="2" t="s">
        <v>43</v>
      </c>
      <c r="G12" s="2">
        <f>AVERAGEIF(A6:A20,A6,C6:C20)</f>
        <v>4440</v>
      </c>
      <c r="H12" s="2" t="s">
        <v>44</v>
      </c>
    </row>
    <row r="13" spans="1:8" x14ac:dyDescent="0.35">
      <c r="A13" s="4" t="s">
        <v>31</v>
      </c>
      <c r="B13" s="4" t="s">
        <v>18</v>
      </c>
      <c r="C13" s="4">
        <v>4000</v>
      </c>
      <c r="D13" s="4" t="s">
        <v>29</v>
      </c>
      <c r="F13" s="11" t="s">
        <v>45</v>
      </c>
      <c r="G13" s="11">
        <f>AVERAGEIFS(C6:C20,A6:A20,A6,D6:D20,D6)</f>
        <v>4175</v>
      </c>
      <c r="H13" s="11" t="s">
        <v>46</v>
      </c>
    </row>
    <row r="14" spans="1:8" x14ac:dyDescent="0.35">
      <c r="A14" s="8" t="s">
        <v>33</v>
      </c>
      <c r="B14" s="8" t="s">
        <v>102</v>
      </c>
      <c r="C14" s="8"/>
      <c r="D14" s="8" t="s">
        <v>26</v>
      </c>
      <c r="F14" s="2" t="s">
        <v>116</v>
      </c>
      <c r="G14" s="2">
        <f>MAX(C6:C20)</f>
        <v>9000</v>
      </c>
      <c r="H14" s="2" t="s">
        <v>117</v>
      </c>
    </row>
    <row r="15" spans="1:8" x14ac:dyDescent="0.35">
      <c r="A15" s="4" t="s">
        <v>24</v>
      </c>
      <c r="B15" s="4" t="s">
        <v>103</v>
      </c>
      <c r="C15" s="4">
        <v>5500</v>
      </c>
      <c r="D15" s="4" t="s">
        <v>29</v>
      </c>
    </row>
    <row r="16" spans="1:8" x14ac:dyDescent="0.35">
      <c r="A16" s="8" t="s">
        <v>27</v>
      </c>
      <c r="B16" s="8" t="s">
        <v>104</v>
      </c>
      <c r="C16" s="8">
        <v>7500</v>
      </c>
      <c r="D16" s="8" t="s">
        <v>26</v>
      </c>
    </row>
    <row r="17" spans="1:8" x14ac:dyDescent="0.35">
      <c r="A17" s="4" t="s">
        <v>31</v>
      </c>
      <c r="B17" s="4" t="s">
        <v>105</v>
      </c>
      <c r="C17" s="4">
        <v>3500</v>
      </c>
      <c r="D17" s="4" t="s">
        <v>26</v>
      </c>
    </row>
    <row r="18" spans="1:8" x14ac:dyDescent="0.35">
      <c r="A18" s="8" t="s">
        <v>33</v>
      </c>
      <c r="B18" s="8" t="s">
        <v>106</v>
      </c>
      <c r="C18" s="8">
        <v>9000</v>
      </c>
      <c r="D18" s="8" t="s">
        <v>29</v>
      </c>
    </row>
    <row r="19" spans="1:8" x14ac:dyDescent="0.35">
      <c r="A19" s="4" t="s">
        <v>24</v>
      </c>
      <c r="B19" s="4" t="s">
        <v>107</v>
      </c>
      <c r="C19" s="4">
        <v>4200</v>
      </c>
      <c r="D19" s="4" t="s">
        <v>26</v>
      </c>
    </row>
    <row r="20" spans="1:8" x14ac:dyDescent="0.35">
      <c r="A20" s="8" t="s">
        <v>27</v>
      </c>
      <c r="B20" s="8" t="s">
        <v>108</v>
      </c>
      <c r="C20" s="8"/>
      <c r="D20" s="8" t="s">
        <v>29</v>
      </c>
    </row>
    <row r="22" spans="1:8" ht="100" customHeight="1" x14ac:dyDescent="0.35">
      <c r="A22" s="64" t="s">
        <v>201</v>
      </c>
      <c r="B22" s="65"/>
      <c r="C22" s="65"/>
      <c r="D22" s="65"/>
      <c r="E22" s="65"/>
      <c r="F22" s="65"/>
      <c r="G22" s="65"/>
      <c r="H22" s="65"/>
    </row>
  </sheetData>
  <mergeCells count="4">
    <mergeCell ref="A1:H1"/>
    <mergeCell ref="A3:H3"/>
    <mergeCell ref="F5:H5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topLeftCell="A3" workbookViewId="0">
      <selection activeCell="F10" sqref="F10"/>
    </sheetView>
  </sheetViews>
  <sheetFormatPr defaultRowHeight="14.5" x14ac:dyDescent="0.35"/>
  <cols>
    <col min="1" max="1" width="16.36328125" customWidth="1"/>
    <col min="2" max="2" width="10.90625" customWidth="1"/>
    <col min="3" max="4" width="16.36328125" customWidth="1"/>
    <col min="5" max="5" width="23.6328125" customWidth="1"/>
    <col min="6" max="7" width="14.54296875" customWidth="1"/>
    <col min="8" max="19" width="18" customWidth="1"/>
  </cols>
  <sheetData>
    <row r="1" spans="1:7" ht="35" customHeight="1" x14ac:dyDescent="0.35">
      <c r="A1" s="69" t="s">
        <v>118</v>
      </c>
      <c r="B1" s="69"/>
      <c r="C1" s="69"/>
      <c r="D1" s="69"/>
      <c r="E1" s="69"/>
      <c r="F1" s="69"/>
      <c r="G1" s="69"/>
    </row>
    <row r="3" spans="1:7" ht="15.5" x14ac:dyDescent="0.35">
      <c r="A3" s="70" t="s">
        <v>73</v>
      </c>
      <c r="B3" s="70"/>
      <c r="C3" s="70"/>
      <c r="D3" s="70"/>
      <c r="E3" s="70"/>
      <c r="F3" s="70"/>
      <c r="G3" s="70"/>
    </row>
    <row r="4" spans="1:7" x14ac:dyDescent="0.35">
      <c r="A4" s="12" t="s">
        <v>119</v>
      </c>
      <c r="B4" s="12"/>
      <c r="C4" s="12"/>
      <c r="D4" s="12"/>
      <c r="E4" s="12"/>
      <c r="F4" s="12"/>
      <c r="G4" s="12"/>
    </row>
    <row r="5" spans="1:7" x14ac:dyDescent="0.35">
      <c r="A5" s="12" t="s">
        <v>120</v>
      </c>
      <c r="B5" s="12"/>
      <c r="C5" s="12"/>
      <c r="D5" s="12"/>
      <c r="E5" s="12"/>
      <c r="F5" s="12"/>
      <c r="G5" s="12"/>
    </row>
    <row r="6" spans="1:7" x14ac:dyDescent="0.35">
      <c r="A6" s="12" t="s">
        <v>121</v>
      </c>
      <c r="B6" s="12"/>
      <c r="C6" s="12"/>
      <c r="D6" s="12"/>
      <c r="E6" s="12"/>
      <c r="F6" s="12"/>
      <c r="G6" s="12"/>
    </row>
    <row r="7" spans="1:7" x14ac:dyDescent="0.35">
      <c r="A7" s="12" t="s">
        <v>122</v>
      </c>
      <c r="B7" s="12"/>
      <c r="C7" s="12"/>
      <c r="D7" s="12"/>
      <c r="E7" s="12"/>
      <c r="F7" s="12"/>
      <c r="G7" s="12"/>
    </row>
    <row r="9" spans="1:7" ht="28" customHeight="1" x14ac:dyDescent="0.35">
      <c r="A9" s="41" t="s">
        <v>47</v>
      </c>
      <c r="B9" s="41" t="s">
        <v>48</v>
      </c>
      <c r="C9" s="41" t="s">
        <v>49</v>
      </c>
      <c r="D9" s="41" t="s">
        <v>50</v>
      </c>
      <c r="E9" s="41" t="s">
        <v>51</v>
      </c>
      <c r="F9" s="41" t="s">
        <v>52</v>
      </c>
      <c r="G9" s="41" t="s">
        <v>53</v>
      </c>
    </row>
    <row r="10" spans="1:7" x14ac:dyDescent="0.35">
      <c r="A10" s="13" t="s">
        <v>123</v>
      </c>
      <c r="B10" s="13">
        <v>85</v>
      </c>
      <c r="C10" s="13" t="str">
        <f>IF(B10&gt;40,"pass","fail")</f>
        <v>pass</v>
      </c>
      <c r="D10" s="13" t="str" cm="1">
        <f t="array" ref="D10">_xlfn.IFS(B10&gt;80,"A",B10&gt;60,"B",B10&gt;40,"C",B10&lt;40,"D")</f>
        <v>A</v>
      </c>
      <c r="E10" s="13" t="str" cm="1">
        <f t="array" ref="E10">_xlfn.SWITCH(D10,"A","Excellent","B","Good","C","Average","D","Needs Work")</f>
        <v>Excellent</v>
      </c>
      <c r="F10" s="13">
        <f>_xlfn.RANK.EQ(B10,$B$10:$B$21,0)</f>
        <v>2</v>
      </c>
      <c r="G10" s="13">
        <f>_xlfn.RANK.AVG(B10,$B$10:$B$21,0)</f>
        <v>2.5</v>
      </c>
    </row>
    <row r="11" spans="1:7" x14ac:dyDescent="0.35">
      <c r="A11" s="4" t="s">
        <v>124</v>
      </c>
      <c r="B11" s="4">
        <v>45</v>
      </c>
      <c r="C11" s="13" t="str">
        <f t="shared" ref="C11:C21" si="0">IF(B11&gt;40,"pass","fail")</f>
        <v>pass</v>
      </c>
      <c r="D11" s="13" t="str" cm="1">
        <f t="array" ref="D11">_xlfn.IFS(B11&gt;80,"A",B11&gt;60,"B",B11&gt;40,"C",B11&lt;40,"D")</f>
        <v>C</v>
      </c>
      <c r="E11" s="13" t="str" cm="1">
        <f t="array" ref="E11">_xlfn.SWITCH(D11,"A","Excellent","B","Good","C","Average","D","Needs Work")</f>
        <v>Average</v>
      </c>
      <c r="F11" s="13">
        <f t="shared" ref="F11:F21" si="1">_xlfn.RANK.EQ(B11,$B$10:$B$21,0)</f>
        <v>10</v>
      </c>
      <c r="G11" s="13">
        <f t="shared" ref="G11:G21" si="2">_xlfn.RANK.AVG(B11,$B$10:$B$21,0)</f>
        <v>10</v>
      </c>
    </row>
    <row r="12" spans="1:7" x14ac:dyDescent="0.35">
      <c r="A12" s="13" t="s">
        <v>125</v>
      </c>
      <c r="B12" s="13">
        <v>92</v>
      </c>
      <c r="C12" s="13" t="str">
        <f t="shared" si="0"/>
        <v>pass</v>
      </c>
      <c r="D12" s="13" t="str" cm="1">
        <f t="array" ref="D12">_xlfn.IFS(B12&gt;80,"A",B12&gt;60,"B",B12&gt;40,"C",B12&lt;40,"D")</f>
        <v>A</v>
      </c>
      <c r="E12" s="13" t="str" cm="1">
        <f t="array" ref="E12">_xlfn.SWITCH(D12,"A","Excellent","B","Good","C","Average","D","Needs Work")</f>
        <v>Excellent</v>
      </c>
      <c r="F12" s="13">
        <f t="shared" si="1"/>
        <v>1</v>
      </c>
      <c r="G12" s="13">
        <f t="shared" si="2"/>
        <v>1</v>
      </c>
    </row>
    <row r="13" spans="1:7" x14ac:dyDescent="0.35">
      <c r="A13" s="4" t="s">
        <v>126</v>
      </c>
      <c r="B13" s="4">
        <v>38</v>
      </c>
      <c r="C13" s="13" t="str">
        <f t="shared" si="0"/>
        <v>fail</v>
      </c>
      <c r="D13" s="13" t="str" cm="1">
        <f t="array" ref="D13">_xlfn.IFS(B13&gt;80,"A",B13&gt;60,"B",B13&gt;40,"C",B13&lt;40,"D")</f>
        <v>D</v>
      </c>
      <c r="E13" s="13" t="str" cm="1">
        <f t="array" ref="E13">_xlfn.SWITCH(D13,"A","Excellent","B","Good","C","Average","D","Needs Work")</f>
        <v>Needs Work</v>
      </c>
      <c r="F13" s="13">
        <f t="shared" si="1"/>
        <v>11</v>
      </c>
      <c r="G13" s="13">
        <f t="shared" si="2"/>
        <v>11</v>
      </c>
    </row>
    <row r="14" spans="1:7" x14ac:dyDescent="0.35">
      <c r="A14" s="13" t="s">
        <v>127</v>
      </c>
      <c r="B14" s="13">
        <v>67</v>
      </c>
      <c r="C14" s="13" t="str">
        <f t="shared" si="0"/>
        <v>pass</v>
      </c>
      <c r="D14" s="13" t="str" cm="1">
        <f t="array" ref="D14">_xlfn.IFS(B14&gt;80,"A",B14&gt;60,"B",B14&gt;40,"C",B14&lt;40,"D")</f>
        <v>B</v>
      </c>
      <c r="E14" s="13" t="str" cm="1">
        <f t="array" ref="E14">_xlfn.SWITCH(D14,"A","Excellent","B","Good","C","Average","D","Needs Work")</f>
        <v>Good</v>
      </c>
      <c r="F14" s="13">
        <f t="shared" si="1"/>
        <v>6</v>
      </c>
      <c r="G14" s="13">
        <f t="shared" si="2"/>
        <v>6</v>
      </c>
    </row>
    <row r="15" spans="1:7" x14ac:dyDescent="0.35">
      <c r="A15" s="4" t="s">
        <v>128</v>
      </c>
      <c r="B15" s="4">
        <v>73</v>
      </c>
      <c r="C15" s="13" t="str">
        <f t="shared" si="0"/>
        <v>pass</v>
      </c>
      <c r="D15" s="13" t="str" cm="1">
        <f t="array" ref="D15">_xlfn.IFS(B15&gt;80,"A",B15&gt;60,"B",B15&gt;40,"C",B15&lt;40,"D")</f>
        <v>B</v>
      </c>
      <c r="E15" s="13" t="str" cm="1">
        <f t="array" ref="E15">_xlfn.SWITCH(D15,"A","Excellent","B","Good","C","Average","D","Needs Work")</f>
        <v>Good</v>
      </c>
      <c r="F15" s="13">
        <f t="shared" si="1"/>
        <v>5</v>
      </c>
      <c r="G15" s="13">
        <f t="shared" si="2"/>
        <v>5</v>
      </c>
    </row>
    <row r="16" spans="1:7" x14ac:dyDescent="0.35">
      <c r="A16" s="13" t="s">
        <v>129</v>
      </c>
      <c r="B16" s="13">
        <v>55</v>
      </c>
      <c r="C16" s="13" t="str">
        <f t="shared" si="0"/>
        <v>pass</v>
      </c>
      <c r="D16" s="13" t="str" cm="1">
        <f t="array" ref="D16">_xlfn.IFS(B16&gt;80,"A",B16&gt;60,"B",B16&gt;40,"C",B16&lt;40,"D")</f>
        <v>C</v>
      </c>
      <c r="E16" s="13" t="str" cm="1">
        <f t="array" ref="E16">_xlfn.SWITCH(D16,"A","Excellent","B","Good","C","Average","D","Needs Work")</f>
        <v>Average</v>
      </c>
      <c r="F16" s="13">
        <f t="shared" si="1"/>
        <v>8</v>
      </c>
      <c r="G16" s="13">
        <f t="shared" si="2"/>
        <v>8</v>
      </c>
    </row>
    <row r="17" spans="1:7" x14ac:dyDescent="0.35">
      <c r="A17" s="4" t="s">
        <v>130</v>
      </c>
      <c r="B17" s="4">
        <v>85</v>
      </c>
      <c r="C17" s="13" t="str">
        <f t="shared" si="0"/>
        <v>pass</v>
      </c>
      <c r="D17" s="13" t="str" cm="1">
        <f t="array" ref="D17">_xlfn.IFS(B17&gt;80,"A",B17&gt;60,"B",B17&gt;40,"C",B17&lt;40,"D")</f>
        <v>A</v>
      </c>
      <c r="E17" s="13" t="str" cm="1">
        <f t="array" ref="E17">_xlfn.SWITCH(D17,"A","Excellent","B","Good","C","Average","D","Needs Work")</f>
        <v>Excellent</v>
      </c>
      <c r="F17" s="13">
        <f t="shared" si="1"/>
        <v>2</v>
      </c>
      <c r="G17" s="13">
        <f t="shared" si="2"/>
        <v>2.5</v>
      </c>
    </row>
    <row r="18" spans="1:7" x14ac:dyDescent="0.35">
      <c r="A18" s="13" t="s">
        <v>131</v>
      </c>
      <c r="B18" s="13">
        <v>29</v>
      </c>
      <c r="C18" s="13" t="str">
        <f t="shared" si="0"/>
        <v>fail</v>
      </c>
      <c r="D18" s="13" t="str" cm="1">
        <f t="array" ref="D18">_xlfn.IFS(B18&gt;80,"A",B18&gt;60,"B",B18&gt;40,"C",B18&lt;40,"D")</f>
        <v>D</v>
      </c>
      <c r="E18" s="13" t="str" cm="1">
        <f t="array" ref="E18">_xlfn.SWITCH(D18,"A","Excellent","B","Good","C","Average","D","Needs Work")</f>
        <v>Needs Work</v>
      </c>
      <c r="F18" s="13">
        <f t="shared" si="1"/>
        <v>12</v>
      </c>
      <c r="G18" s="13">
        <f t="shared" si="2"/>
        <v>12</v>
      </c>
    </row>
    <row r="19" spans="1:7" x14ac:dyDescent="0.35">
      <c r="A19" s="4" t="s">
        <v>132</v>
      </c>
      <c r="B19" s="4">
        <v>61</v>
      </c>
      <c r="C19" s="13" t="str">
        <f t="shared" si="0"/>
        <v>pass</v>
      </c>
      <c r="D19" s="13" t="str" cm="1">
        <f t="array" ref="D19">_xlfn.IFS(B19&gt;80,"A",B19&gt;60,"B",B19&gt;40,"C",B19&lt;40,"D")</f>
        <v>B</v>
      </c>
      <c r="E19" s="13" t="str" cm="1">
        <f t="array" ref="E19">_xlfn.SWITCH(D19,"A","Excellent","B","Good","C","Average","D","Needs Work")</f>
        <v>Good</v>
      </c>
      <c r="F19" s="13">
        <f t="shared" si="1"/>
        <v>7</v>
      </c>
      <c r="G19" s="13">
        <f t="shared" si="2"/>
        <v>7</v>
      </c>
    </row>
    <row r="20" spans="1:7" x14ac:dyDescent="0.35">
      <c r="A20" s="13" t="s">
        <v>32</v>
      </c>
      <c r="B20" s="13">
        <v>78</v>
      </c>
      <c r="C20" s="13" t="str">
        <f t="shared" si="0"/>
        <v>pass</v>
      </c>
      <c r="D20" s="13" t="str" cm="1">
        <f t="array" ref="D20">_xlfn.IFS(B20&gt;80,"A",B20&gt;60,"B",B20&gt;40,"C",B20&lt;40,"D")</f>
        <v>B</v>
      </c>
      <c r="E20" s="13" t="str" cm="1">
        <f t="array" ref="E20">_xlfn.SWITCH(D20,"A","Excellent","B","Good","C","Average","D","Needs Work")</f>
        <v>Good</v>
      </c>
      <c r="F20" s="13">
        <f t="shared" si="1"/>
        <v>4</v>
      </c>
      <c r="G20" s="13">
        <f t="shared" si="2"/>
        <v>4</v>
      </c>
    </row>
    <row r="21" spans="1:7" x14ac:dyDescent="0.35">
      <c r="A21" s="4" t="s">
        <v>133</v>
      </c>
      <c r="B21" s="4">
        <v>50</v>
      </c>
      <c r="C21" s="13" t="str">
        <f t="shared" si="0"/>
        <v>pass</v>
      </c>
      <c r="D21" s="13" t="str" cm="1">
        <f t="array" ref="D21">_xlfn.IFS(B21&gt;80,"A",B21&gt;60,"B",B21&gt;40,"C",B21&lt;40,"D")</f>
        <v>C</v>
      </c>
      <c r="E21" s="13" t="str" cm="1">
        <f t="array" ref="E21">_xlfn.SWITCH(D21,"A","Excellent","B","Good","C","Average","D","Needs Work")</f>
        <v>Average</v>
      </c>
      <c r="F21" s="13">
        <f t="shared" si="1"/>
        <v>9</v>
      </c>
      <c r="G21" s="13">
        <f t="shared" si="2"/>
        <v>9</v>
      </c>
    </row>
    <row r="23" spans="1:7" ht="100" customHeight="1" x14ac:dyDescent="0.35">
      <c r="A23" s="71" t="s">
        <v>202</v>
      </c>
      <c r="B23" s="71"/>
      <c r="C23" s="71"/>
      <c r="D23" s="71"/>
      <c r="E23" s="71"/>
      <c r="F23" s="71"/>
      <c r="G23" s="71"/>
    </row>
  </sheetData>
  <mergeCells count="3">
    <mergeCell ref="A1:G1"/>
    <mergeCell ref="A3:G3"/>
    <mergeCell ref="A23:G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topLeftCell="A5" workbookViewId="0">
      <selection activeCell="G11" sqref="G11"/>
    </sheetView>
  </sheetViews>
  <sheetFormatPr defaultRowHeight="14.5" x14ac:dyDescent="0.35"/>
  <cols>
    <col min="1" max="1" width="14.54296875" customWidth="1"/>
    <col min="2" max="2" width="18.1796875" customWidth="1"/>
    <col min="3" max="3" width="12.7265625" customWidth="1"/>
    <col min="4" max="4" width="14.54296875" customWidth="1"/>
    <col min="5" max="5" width="18" customWidth="1"/>
    <col min="6" max="6" width="25.453125" customWidth="1"/>
    <col min="7" max="8" width="14.54296875" customWidth="1"/>
    <col min="9" max="19" width="18" customWidth="1"/>
  </cols>
  <sheetData>
    <row r="1" spans="1:8" ht="35" customHeight="1" x14ac:dyDescent="0.35">
      <c r="A1" s="72" t="s">
        <v>134</v>
      </c>
      <c r="B1" s="72"/>
      <c r="C1" s="72"/>
      <c r="D1" s="72"/>
      <c r="E1" s="72"/>
      <c r="F1" s="72"/>
      <c r="G1" s="72"/>
      <c r="H1" s="72"/>
    </row>
    <row r="3" spans="1:8" x14ac:dyDescent="0.35">
      <c r="A3" s="73" t="s">
        <v>135</v>
      </c>
      <c r="B3" s="73"/>
      <c r="C3" s="73"/>
      <c r="D3" s="73"/>
      <c r="E3" s="73"/>
      <c r="F3" s="73"/>
      <c r="G3" s="73"/>
      <c r="H3" s="73"/>
    </row>
    <row r="5" spans="1:8" ht="25" customHeight="1" x14ac:dyDescent="0.35">
      <c r="A5" s="15" t="s">
        <v>54</v>
      </c>
      <c r="B5" s="15" t="s">
        <v>136</v>
      </c>
      <c r="C5" s="15" t="s">
        <v>56</v>
      </c>
      <c r="D5" s="15" t="s">
        <v>57</v>
      </c>
      <c r="F5" s="74" t="s">
        <v>144</v>
      </c>
      <c r="G5" s="75"/>
      <c r="H5" s="75"/>
    </row>
    <row r="6" spans="1:8" ht="18.5" x14ac:dyDescent="0.45">
      <c r="A6" s="14" t="s">
        <v>58</v>
      </c>
      <c r="B6" s="14" t="s">
        <v>6</v>
      </c>
      <c r="C6" s="14">
        <v>55000</v>
      </c>
      <c r="D6" s="14" t="s">
        <v>59</v>
      </c>
      <c r="F6" s="18" t="s">
        <v>145</v>
      </c>
      <c r="G6" s="17" t="s">
        <v>64</v>
      </c>
      <c r="H6" s="49"/>
    </row>
    <row r="7" spans="1:8" x14ac:dyDescent="0.35">
      <c r="A7" s="4" t="s">
        <v>60</v>
      </c>
      <c r="B7" s="4" t="s">
        <v>61</v>
      </c>
      <c r="C7" s="4">
        <v>25000</v>
      </c>
      <c r="D7" s="4" t="s">
        <v>62</v>
      </c>
      <c r="F7" s="11" t="s">
        <v>63</v>
      </c>
      <c r="G7" s="11" t="str">
        <f>VLOOKUP(G6,A5:D13,2,FALSE)</f>
        <v>Tablet</v>
      </c>
      <c r="H7" s="11">
        <f>VLOOKUP(C8,C5:E13,1,FALSE)</f>
        <v>18000</v>
      </c>
    </row>
    <row r="8" spans="1:8" x14ac:dyDescent="0.35">
      <c r="A8" s="14" t="s">
        <v>64</v>
      </c>
      <c r="B8" s="14" t="s">
        <v>65</v>
      </c>
      <c r="C8" s="14">
        <v>18000</v>
      </c>
      <c r="D8" s="14" t="s">
        <v>62</v>
      </c>
      <c r="F8" s="2" t="s">
        <v>146</v>
      </c>
      <c r="G8" s="2">
        <f>VLOOKUP(G6,A5:D13,3,FALSE)</f>
        <v>18000</v>
      </c>
      <c r="H8" s="2"/>
    </row>
    <row r="9" spans="1:8" x14ac:dyDescent="0.35">
      <c r="A9" s="4" t="s">
        <v>137</v>
      </c>
      <c r="B9" s="4" t="s">
        <v>8</v>
      </c>
      <c r="C9" s="4">
        <v>15000</v>
      </c>
      <c r="D9" s="4" t="s">
        <v>59</v>
      </c>
      <c r="F9" s="11" t="s">
        <v>66</v>
      </c>
      <c r="G9" s="11"/>
      <c r="H9" s="11"/>
    </row>
    <row r="10" spans="1:8" x14ac:dyDescent="0.35">
      <c r="A10" s="14" t="s">
        <v>138</v>
      </c>
      <c r="B10" s="14" t="s">
        <v>79</v>
      </c>
      <c r="C10" s="14">
        <v>1500</v>
      </c>
      <c r="D10" s="14" t="s">
        <v>59</v>
      </c>
      <c r="F10" s="2" t="s">
        <v>147</v>
      </c>
      <c r="G10" s="2">
        <f>INDEX(A5:D13,4,3)</f>
        <v>18000</v>
      </c>
      <c r="H10" s="2">
        <f>MATCH(C8,C5:C13,0)</f>
        <v>4</v>
      </c>
    </row>
    <row r="11" spans="1:8" x14ac:dyDescent="0.35">
      <c r="A11" s="4" t="s">
        <v>139</v>
      </c>
      <c r="B11" s="4" t="s">
        <v>140</v>
      </c>
      <c r="C11" s="4">
        <v>3000</v>
      </c>
      <c r="D11" s="4" t="s">
        <v>62</v>
      </c>
      <c r="F11" s="11" t="s">
        <v>148</v>
      </c>
      <c r="G11" s="11" t="str">
        <f>INDEX(A5:D13,4,2)</f>
        <v>Tablet</v>
      </c>
      <c r="H11" s="11">
        <f>MATCH(B8,B5:B13,0)</f>
        <v>4</v>
      </c>
    </row>
    <row r="12" spans="1:8" x14ac:dyDescent="0.35">
      <c r="A12" s="14" t="s">
        <v>141</v>
      </c>
      <c r="B12" s="14" t="s">
        <v>80</v>
      </c>
      <c r="C12" s="14">
        <v>12000</v>
      </c>
      <c r="D12" s="14" t="s">
        <v>59</v>
      </c>
      <c r="H12" s="11"/>
    </row>
    <row r="13" spans="1:8" x14ac:dyDescent="0.35">
      <c r="A13" s="4" t="s">
        <v>142</v>
      </c>
      <c r="B13" s="4" t="s">
        <v>143</v>
      </c>
      <c r="C13" s="4">
        <v>8000</v>
      </c>
      <c r="D13" s="4" t="s">
        <v>62</v>
      </c>
    </row>
    <row r="15" spans="1:8" x14ac:dyDescent="0.35">
      <c r="A15" s="76" t="s">
        <v>149</v>
      </c>
      <c r="B15" s="76"/>
      <c r="C15" s="76"/>
      <c r="D15" s="76"/>
      <c r="E15" s="76"/>
      <c r="F15" t="s">
        <v>151</v>
      </c>
    </row>
    <row r="16" spans="1:8" x14ac:dyDescent="0.35">
      <c r="A16" s="19" t="s">
        <v>57</v>
      </c>
      <c r="B16" s="19" t="s">
        <v>59</v>
      </c>
      <c r="C16" s="19" t="s">
        <v>62</v>
      </c>
      <c r="D16" s="19" t="s">
        <v>67</v>
      </c>
      <c r="E16" s="19" t="s">
        <v>150</v>
      </c>
      <c r="F16" t="s">
        <v>152</v>
      </c>
      <c r="G16" s="16" t="s">
        <v>62</v>
      </c>
    </row>
    <row r="17" spans="1:8" x14ac:dyDescent="0.35">
      <c r="A17" s="20" t="s">
        <v>4</v>
      </c>
      <c r="B17" s="21">
        <v>0.18</v>
      </c>
      <c r="C17" s="21">
        <v>0.12</v>
      </c>
      <c r="D17" s="21">
        <v>0.05</v>
      </c>
      <c r="E17" s="21">
        <v>0.05</v>
      </c>
      <c r="F17" t="s">
        <v>153</v>
      </c>
      <c r="G17" s="50">
        <f>HLOOKUP(C16,A16:G17,2,FALSE)</f>
        <v>0.12</v>
      </c>
    </row>
    <row r="19" spans="1:8" ht="100" customHeight="1" x14ac:dyDescent="0.35">
      <c r="A19" s="64" t="s">
        <v>203</v>
      </c>
      <c r="B19" s="64"/>
      <c r="C19" s="64"/>
      <c r="D19" s="64"/>
      <c r="E19" s="64"/>
      <c r="F19" s="64"/>
      <c r="G19" s="64"/>
      <c r="H19" s="64"/>
    </row>
  </sheetData>
  <mergeCells count="5">
    <mergeCell ref="A19:H19"/>
    <mergeCell ref="A1:H1"/>
    <mergeCell ref="A3:H3"/>
    <mergeCell ref="F5:H5"/>
    <mergeCell ref="A15:E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topLeftCell="A5" workbookViewId="0">
      <selection activeCell="H12" sqref="H12"/>
    </sheetView>
  </sheetViews>
  <sheetFormatPr defaultRowHeight="14.5" x14ac:dyDescent="0.35"/>
  <cols>
    <col min="1" max="1" width="7.26953125" customWidth="1"/>
    <col min="2" max="2" width="18.1796875" customWidth="1"/>
    <col min="3" max="3" width="14.54296875" customWidth="1"/>
    <col min="4" max="4" width="12.7265625" customWidth="1"/>
    <col min="5" max="5" width="10.90625" customWidth="1"/>
    <col min="6" max="6" width="18" customWidth="1"/>
    <col min="7" max="7" width="25.453125" customWidth="1"/>
    <col min="8" max="8" width="18.1796875" customWidth="1"/>
    <col min="9" max="19" width="18" customWidth="1"/>
  </cols>
  <sheetData>
    <row r="1" spans="1:8" ht="35" customHeight="1" x14ac:dyDescent="0.35">
      <c r="A1" s="78" t="s">
        <v>154</v>
      </c>
      <c r="B1" s="78"/>
      <c r="C1" s="78"/>
      <c r="D1" s="78"/>
      <c r="E1" s="78"/>
      <c r="F1" s="78"/>
      <c r="G1" s="78"/>
      <c r="H1" s="78"/>
    </row>
    <row r="3" spans="1:8" x14ac:dyDescent="0.35">
      <c r="A3" s="79" t="s">
        <v>155</v>
      </c>
      <c r="B3" s="79"/>
      <c r="C3" s="79"/>
      <c r="D3" s="79"/>
      <c r="E3" s="79"/>
      <c r="F3" s="79"/>
      <c r="G3" s="79"/>
      <c r="H3" s="79"/>
    </row>
    <row r="5" spans="1:8" ht="25" customHeight="1" x14ac:dyDescent="0.35">
      <c r="A5" s="42" t="s">
        <v>0</v>
      </c>
      <c r="B5" s="42" t="s">
        <v>55</v>
      </c>
      <c r="C5" s="42" t="s">
        <v>57</v>
      </c>
      <c r="D5" s="42" t="s">
        <v>56</v>
      </c>
      <c r="E5" s="42" t="s">
        <v>69</v>
      </c>
      <c r="G5" s="80" t="s">
        <v>157</v>
      </c>
      <c r="H5" s="80"/>
    </row>
    <row r="6" spans="1:8" x14ac:dyDescent="0.35">
      <c r="A6" s="2">
        <v>1</v>
      </c>
      <c r="B6" s="2" t="s">
        <v>6</v>
      </c>
      <c r="C6" s="2" t="s">
        <v>59</v>
      </c>
      <c r="D6" s="2">
        <v>55000</v>
      </c>
      <c r="E6" s="2">
        <v>10</v>
      </c>
      <c r="G6" s="22" t="s">
        <v>57</v>
      </c>
      <c r="H6" s="22" t="s">
        <v>56</v>
      </c>
    </row>
    <row r="7" spans="1:8" x14ac:dyDescent="0.35">
      <c r="A7" s="4">
        <v>2</v>
      </c>
      <c r="B7" s="4" t="s">
        <v>61</v>
      </c>
      <c r="C7" s="4" t="s">
        <v>62</v>
      </c>
      <c r="D7" s="4">
        <v>25000</v>
      </c>
      <c r="E7" s="4">
        <v>50</v>
      </c>
      <c r="G7" s="23" t="s">
        <v>62</v>
      </c>
      <c r="H7" s="23" t="s">
        <v>158</v>
      </c>
    </row>
    <row r="8" spans="1:8" x14ac:dyDescent="0.35">
      <c r="A8" s="2">
        <v>3</v>
      </c>
      <c r="B8" s="2" t="s">
        <v>65</v>
      </c>
      <c r="C8" s="2" t="s">
        <v>62</v>
      </c>
      <c r="D8" s="2">
        <v>18000</v>
      </c>
      <c r="E8" s="2">
        <v>30</v>
      </c>
    </row>
    <row r="9" spans="1:8" x14ac:dyDescent="0.35">
      <c r="A9" s="4">
        <v>4</v>
      </c>
      <c r="B9" s="4" t="s">
        <v>8</v>
      </c>
      <c r="C9" s="4" t="s">
        <v>59</v>
      </c>
      <c r="D9" s="4">
        <v>15000</v>
      </c>
      <c r="E9" s="4">
        <v>25</v>
      </c>
      <c r="G9" s="81" t="s">
        <v>159</v>
      </c>
      <c r="H9" s="81"/>
    </row>
    <row r="10" spans="1:8" x14ac:dyDescent="0.35">
      <c r="A10" s="2">
        <v>5</v>
      </c>
      <c r="B10" s="2" t="s">
        <v>140</v>
      </c>
      <c r="C10" s="2" t="s">
        <v>62</v>
      </c>
      <c r="D10" s="2">
        <v>3000</v>
      </c>
      <c r="E10" s="2">
        <v>100</v>
      </c>
      <c r="G10" s="24" t="s">
        <v>36</v>
      </c>
      <c r="H10" s="24" t="s">
        <v>110</v>
      </c>
    </row>
    <row r="11" spans="1:8" x14ac:dyDescent="0.35">
      <c r="A11" s="4">
        <v>6</v>
      </c>
      <c r="B11" s="4" t="s">
        <v>79</v>
      </c>
      <c r="C11" s="4" t="s">
        <v>59</v>
      </c>
      <c r="D11" s="4">
        <v>1500</v>
      </c>
      <c r="E11" s="4">
        <v>80</v>
      </c>
      <c r="G11" s="25" t="s">
        <v>68</v>
      </c>
      <c r="H11" s="25">
        <f>DSUM(A5:E15,E5,G6:G7)</f>
        <v>420</v>
      </c>
    </row>
    <row r="12" spans="1:8" x14ac:dyDescent="0.35">
      <c r="A12" s="2">
        <v>7</v>
      </c>
      <c r="B12" s="2" t="s">
        <v>143</v>
      </c>
      <c r="C12" s="2" t="s">
        <v>62</v>
      </c>
      <c r="D12" s="2">
        <v>12000</v>
      </c>
      <c r="E12" s="2">
        <v>40</v>
      </c>
      <c r="G12" s="13" t="s">
        <v>160</v>
      </c>
      <c r="H12" s="13">
        <f>DCOUNT(A5:E15,B5,G6:G7)</f>
        <v>0</v>
      </c>
    </row>
    <row r="13" spans="1:8" x14ac:dyDescent="0.35">
      <c r="A13" s="4">
        <v>8</v>
      </c>
      <c r="B13" s="4" t="s">
        <v>80</v>
      </c>
      <c r="C13" s="4" t="s">
        <v>59</v>
      </c>
      <c r="D13" s="4">
        <v>12000</v>
      </c>
      <c r="E13" s="4">
        <v>15</v>
      </c>
      <c r="G13" s="25" t="s">
        <v>161</v>
      </c>
      <c r="H13" s="25">
        <f>DAVERAGE(A5:E15,D5,G6:G7)</f>
        <v>11900</v>
      </c>
    </row>
    <row r="14" spans="1:8" x14ac:dyDescent="0.35">
      <c r="A14" s="2">
        <v>9</v>
      </c>
      <c r="B14" s="2" t="s">
        <v>7</v>
      </c>
      <c r="C14" s="2" t="s">
        <v>59</v>
      </c>
      <c r="D14" s="2">
        <v>800</v>
      </c>
      <c r="E14" s="2">
        <v>120</v>
      </c>
      <c r="G14" s="13" t="s">
        <v>162</v>
      </c>
      <c r="H14" s="13">
        <f>DMIN(A5:E15,D5,G6:G7)</f>
        <v>1500</v>
      </c>
    </row>
    <row r="15" spans="1:8" x14ac:dyDescent="0.35">
      <c r="A15" s="4">
        <v>10</v>
      </c>
      <c r="B15" s="4" t="s">
        <v>156</v>
      </c>
      <c r="C15" s="4" t="s">
        <v>62</v>
      </c>
      <c r="D15" s="4">
        <v>1500</v>
      </c>
      <c r="E15" s="4">
        <v>200</v>
      </c>
      <c r="G15" s="25" t="s">
        <v>163</v>
      </c>
      <c r="H15" s="25">
        <f>DMAX(A5:E15,D5,G6:G7)</f>
        <v>25000</v>
      </c>
    </row>
    <row r="17" spans="1:8" ht="100" customHeight="1" x14ac:dyDescent="0.35">
      <c r="A17" s="77" t="s">
        <v>204</v>
      </c>
      <c r="B17" s="77"/>
      <c r="C17" s="77"/>
      <c r="D17" s="77"/>
      <c r="E17" s="77"/>
      <c r="F17" s="77"/>
      <c r="G17" s="77"/>
      <c r="H17" s="77"/>
    </row>
  </sheetData>
  <mergeCells count="5">
    <mergeCell ref="A17:H17"/>
    <mergeCell ref="A1:H1"/>
    <mergeCell ref="A3:H3"/>
    <mergeCell ref="G5:H5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🏠 Welcome</vt:lpstr>
      <vt:lpstr>1. Setup &amp; Formats</vt:lpstr>
      <vt:lpstr>2. Random &amp; Basics</vt:lpstr>
      <vt:lpstr>3. Stats &amp; Conditions</vt:lpstr>
      <vt:lpstr>4. Logic &amp; Rank</vt:lpstr>
      <vt:lpstr>5. Advanced Lookups</vt:lpstr>
      <vt:lpstr>6. Database (D-Func)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kolhe</cp:lastModifiedBy>
  <dcterms:created xsi:type="dcterms:W3CDTF">2026-05-15T19:04:21Z</dcterms:created>
  <dcterms:modified xsi:type="dcterms:W3CDTF">2026-05-22T10:38:13Z</dcterms:modified>
</cp:coreProperties>
</file>